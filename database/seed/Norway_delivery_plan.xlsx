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updateLinks="always" defaultThemeVersion="202300"/>
  <mc:AlternateContent xmlns:mc="http://schemas.openxmlformats.org/markup-compatibility/2006">
    <mc:Choice Requires="x15">
      <x15ac:absPath xmlns:x15ac="http://schemas.microsoft.com/office/spreadsheetml/2010/11/ac" url="https://nettverkcom-my.sharepoint.com/personal/lie_nettverk_com/Documents/Dokumenter/Suppli/Kunder/Garware Technical Fibres AS/"/>
    </mc:Choice>
  </mc:AlternateContent>
  <xr:revisionPtr revIDLastSave="0" documentId="8_{D1FE738F-AE90-476C-A7D5-20EDEB7CADD4}" xr6:coauthVersionLast="47" xr6:coauthVersionMax="47" xr10:uidLastSave="{00000000-0000-0000-0000-000000000000}"/>
  <bookViews>
    <workbookView xWindow="-120" yWindow="-120" windowWidth="38640" windowHeight="21120" xr2:uid="{BDD54411-AAB5-460A-AFAE-A3C578A25DCF}"/>
  </bookViews>
  <sheets>
    <sheet name="Delivery Plan 2025" sheetId="1" r:id="rId1"/>
  </sheets>
  <definedNames>
    <definedName name="_xlnm._FilterDatabase" localSheetId="0" hidden="1">'Delivery Plan 2025'!$A$2:$BI$180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21" i="1" l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18" i="1"/>
  <c r="W109" i="1"/>
  <c r="W110" i="1"/>
  <c r="W111" i="1"/>
  <c r="W112" i="1"/>
  <c r="W113" i="1"/>
  <c r="W105" i="1"/>
  <c r="W103" i="1"/>
  <c r="W98" i="1"/>
  <c r="W99" i="1"/>
  <c r="W100" i="1"/>
  <c r="W58" i="1"/>
  <c r="W5" i="1"/>
  <c r="W6" i="1"/>
  <c r="W7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84" i="1"/>
  <c r="W88" i="1"/>
  <c r="W16" i="1"/>
  <c r="W17" i="1"/>
  <c r="W101" i="1"/>
  <c r="W92" i="1"/>
  <c r="W93" i="1"/>
  <c r="W94" i="1"/>
  <c r="W95" i="1"/>
  <c r="W107" i="1"/>
  <c r="W108" i="1"/>
  <c r="W102" i="1"/>
  <c r="W96" i="1"/>
  <c r="W97" i="1"/>
  <c r="W106" i="1"/>
  <c r="W104" i="1"/>
  <c r="W81" i="1"/>
  <c r="W52" i="1"/>
  <c r="W82" i="1"/>
  <c r="W83" i="1"/>
  <c r="W86" i="1"/>
  <c r="W85" i="1"/>
  <c r="W72" i="1"/>
  <c r="W78" i="1"/>
  <c r="W80" i="1"/>
  <c r="W79" i="1"/>
  <c r="W73" i="1"/>
  <c r="W74" i="1"/>
  <c r="W70" i="1"/>
  <c r="W71" i="1"/>
  <c r="W51" i="1"/>
  <c r="W69" i="1"/>
  <c r="W33" i="1"/>
  <c r="W66" i="1"/>
  <c r="W75" i="1"/>
  <c r="W89" i="1"/>
  <c r="W90" i="1"/>
  <c r="W87" i="1"/>
  <c r="W60" i="1"/>
  <c r="W63" i="1"/>
  <c r="W62" i="1"/>
  <c r="W9" i="1"/>
  <c r="W65" i="1"/>
  <c r="W67" i="1"/>
  <c r="W56" i="1"/>
  <c r="W64" i="1"/>
  <c r="W68" i="1"/>
  <c r="W91" i="1"/>
  <c r="W53" i="1"/>
  <c r="W54" i="1"/>
  <c r="W57" i="1"/>
  <c r="W59" i="1"/>
  <c r="W55" i="1"/>
  <c r="W32" i="1"/>
  <c r="W61" i="1"/>
  <c r="W8" i="1"/>
  <c r="W35" i="1"/>
  <c r="W36" i="1"/>
  <c r="W15" i="1"/>
  <c r="W14" i="1"/>
  <c r="W114" i="1"/>
  <c r="W115" i="1"/>
  <c r="W116" i="1"/>
  <c r="W117" i="1"/>
  <c r="W119" i="1"/>
  <c r="W120" i="1"/>
  <c r="W31" i="1"/>
  <c r="W19" i="1"/>
  <c r="W20" i="1"/>
  <c r="W21" i="1"/>
  <c r="W23" i="1"/>
  <c r="W24" i="1"/>
  <c r="W25" i="1"/>
  <c r="W26" i="1"/>
  <c r="W18" i="1"/>
  <c r="W27" i="1"/>
  <c r="W28" i="1"/>
  <c r="W29" i="1"/>
  <c r="W30" i="1"/>
  <c r="W34" i="1"/>
  <c r="W76" i="1"/>
  <c r="W77" i="1"/>
  <c r="W11" i="1"/>
  <c r="W4" i="1"/>
  <c r="W12" i="1"/>
  <c r="W13" i="1"/>
  <c r="W3" i="1"/>
  <c r="W10" i="1"/>
  <c r="AB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tc={0AC3639A-B27C-4387-9C4B-D1848C3D2806}</author>
    <author>tc={6DC26D3F-C6DB-4E49-9AD4-C040DE9720C2}</author>
  </authors>
  <commentList>
    <comment ref="M16" authorId="0" shapeId="0" xr:uid="{0AC3639A-B27C-4387-9C4B-D1848C3D2806}">
      <text>
        <t>[Kommentartråd]
Din versjon av Excel lar deg lese denne kommentartråden. Eventuelle endringer i den vil imidlertid bli fjernet hvis filen åpnes i en nyere versjon av Excel. Finn ut mer: https://go.microsoft.com/fwlink/?linkid=870924
Kommentar:
    Damaged under transport/ loading-offloading</t>
      </text>
    </comment>
    <comment ref="M17" authorId="1" shapeId="0" xr:uid="{6DC26D3F-C6DB-4E49-9AD4-C040DE9720C2}">
      <text>
        <t>[Kommentartråd]
Din versjon av Excel lar deg lese denne kommentartråden. Eventuelle endringer i den vil imidlertid bli fjernet hvis filen åpnes i en nyere versjon av Excel. Finn ut mer: https://go.microsoft.com/fwlink/?linkid=870924
Kommentar:
    Damaged under transport/ loading-offloading</t>
      </text>
    </comment>
  </commentList>
</comments>
</file>

<file path=xl/sharedStrings.xml><?xml version="1.0" encoding="utf-8"?>
<sst xmlns="http://schemas.openxmlformats.org/spreadsheetml/2006/main" count="3156" uniqueCount="429">
  <si>
    <t xml:space="preserve"> </t>
  </si>
  <si>
    <t>Shipment</t>
  </si>
  <si>
    <t>Destination transport</t>
  </si>
  <si>
    <t>NOFI/ Service station</t>
  </si>
  <si>
    <t>Customer Invoicing</t>
  </si>
  <si>
    <t>Customer Name</t>
  </si>
  <si>
    <t>Customer PO</t>
  </si>
  <si>
    <t>Invoice NO</t>
  </si>
  <si>
    <t>Sales Order No</t>
  </si>
  <si>
    <t>Material Code</t>
  </si>
  <si>
    <t>Net type</t>
  </si>
  <si>
    <t>Material Description</t>
  </si>
  <si>
    <t>Qty</t>
  </si>
  <si>
    <t>Unit</t>
  </si>
  <si>
    <t>Net w kgs</t>
  </si>
  <si>
    <t>Gross w kgs</t>
  </si>
  <si>
    <t>Batch No.</t>
  </si>
  <si>
    <t>TAGNO - GNP:</t>
  </si>
  <si>
    <t>Certificate sent to cust</t>
  </si>
  <si>
    <t>Sales person</t>
  </si>
  <si>
    <t>Shipping method</t>
  </si>
  <si>
    <t>Destination Port</t>
  </si>
  <si>
    <t>Container/ AWB No</t>
  </si>
  <si>
    <t>Total no of cont</t>
  </si>
  <si>
    <t>Cont type</t>
  </si>
  <si>
    <t>Shipping Line</t>
  </si>
  <si>
    <t>Incoterm</t>
  </si>
  <si>
    <t>Real trans time</t>
  </si>
  <si>
    <t>ETD Mumbai</t>
  </si>
  <si>
    <t>Planned ETA</t>
  </si>
  <si>
    <t>Arrival date/Actual ETA Port</t>
  </si>
  <si>
    <t>Customer approved del date</t>
  </si>
  <si>
    <t>Days delayed</t>
  </si>
  <si>
    <t>Current Status</t>
  </si>
  <si>
    <t>GTFL Certificate sent to customer?</t>
  </si>
  <si>
    <t>Customs cleared</t>
  </si>
  <si>
    <t xml:space="preserve">Transport method </t>
  </si>
  <si>
    <t>Transporter name</t>
  </si>
  <si>
    <t>Transport price per trip</t>
  </si>
  <si>
    <t>Pickup date</t>
  </si>
  <si>
    <t>Storage</t>
  </si>
  <si>
    <t>Storage date</t>
  </si>
  <si>
    <t>Storage facility</t>
  </si>
  <si>
    <t>Value NOK</t>
  </si>
  <si>
    <t>Cust Delivery date</t>
  </si>
  <si>
    <t>Time</t>
  </si>
  <si>
    <t>Delivery address</t>
  </si>
  <si>
    <t>Recipient</t>
  </si>
  <si>
    <t>Total distance from origin to dest KM</t>
  </si>
  <si>
    <t>Transport invoice nr</t>
  </si>
  <si>
    <t>Comments/ site</t>
  </si>
  <si>
    <t>NOFI Site</t>
  </si>
  <si>
    <t>Coating type</t>
  </si>
  <si>
    <t>Arrival date NOFI</t>
  </si>
  <si>
    <t>Start date NOFI</t>
  </si>
  <si>
    <t>Finish date NOFI</t>
  </si>
  <si>
    <t>Customer delivery address</t>
  </si>
  <si>
    <t>Customer delivery date</t>
  </si>
  <si>
    <t>NOFI Invoice nr</t>
  </si>
  <si>
    <t>NOFI invoice date</t>
  </si>
  <si>
    <t>NOFI invoice deadline</t>
  </si>
  <si>
    <t>Total L paint</t>
  </si>
  <si>
    <t>NOFI invoice amount NOK + VAT</t>
  </si>
  <si>
    <t>Comments</t>
  </si>
  <si>
    <t>PC</t>
  </si>
  <si>
    <t>Sea</t>
  </si>
  <si>
    <t>MÅLØY</t>
  </si>
  <si>
    <t>CIF</t>
  </si>
  <si>
    <t>Delivered</t>
  </si>
  <si>
    <t>OK</t>
  </si>
  <si>
    <t>Yes</t>
  </si>
  <si>
    <t>40OT</t>
  </si>
  <si>
    <t xml:space="preserve"> -</t>
  </si>
  <si>
    <t>HLBU8218708</t>
  </si>
  <si>
    <t>Bird net</t>
  </si>
  <si>
    <t>CgeCoNet-200mCir/PlatNeoTwBlu/N9-150HM</t>
  </si>
  <si>
    <t>WENA146146</t>
  </si>
  <si>
    <t>In storage</t>
  </si>
  <si>
    <t>ORKANGER</t>
  </si>
  <si>
    <t>Net Cage</t>
  </si>
  <si>
    <t>NP-157/152mCx1.2+15+18/SACEFob/1.8-30.5H</t>
  </si>
  <si>
    <t>BERGEN</t>
  </si>
  <si>
    <t>Velcro Straps</t>
  </si>
  <si>
    <t xml:space="preserve"> - </t>
  </si>
  <si>
    <t>DFC</t>
  </si>
  <si>
    <t>DFColle-1.6mDia/N6132-16.5/V4PlatN/DblRi</t>
  </si>
  <si>
    <t>Air</t>
  </si>
  <si>
    <t>OSLO</t>
  </si>
  <si>
    <t>860MM YELLOW STRAP VELCRO WITHOUT EYE</t>
  </si>
  <si>
    <t>Net cage</t>
  </si>
  <si>
    <t>Lice Shield</t>
  </si>
  <si>
    <t>NC-157/152mCx15+1.2mD/SCFRBlu/2.1mm-45IM</t>
  </si>
  <si>
    <t>WENA159478</t>
  </si>
  <si>
    <t>HLBU8307929</t>
  </si>
  <si>
    <t>GARWARE TECHNICAL FIBRES AS</t>
  </si>
  <si>
    <t>RW26001</t>
  </si>
  <si>
    <t>NP-157mSpg/1.2+15+18/SACEFob/1.8mm-27HM</t>
  </si>
  <si>
    <t>WENA185816</t>
  </si>
  <si>
    <t>HLBU8136810</t>
  </si>
  <si>
    <t>45UT</t>
  </si>
  <si>
    <t>In Stock</t>
  </si>
  <si>
    <t>JAS Informed</t>
  </si>
  <si>
    <t>WENA185939</t>
  </si>
  <si>
    <t>Lice shield</t>
  </si>
  <si>
    <t>Repair panel</t>
  </si>
  <si>
    <t>Repair Panl-5x5mSq /SCFR/1.8mm-22mmHM</t>
  </si>
  <si>
    <t>WENA187275</t>
  </si>
  <si>
    <t>HLBU8318754</t>
  </si>
  <si>
    <t>22UT</t>
  </si>
  <si>
    <t>RN26008</t>
  </si>
  <si>
    <t>NP-160mCx1.2+20+15/SACEFob/1.5mm-21.5HM</t>
  </si>
  <si>
    <t>WENA180139</t>
  </si>
  <si>
    <t>HLBU8213835</t>
  </si>
  <si>
    <t>WENA181784</t>
  </si>
  <si>
    <t>HLBU8324485</t>
  </si>
  <si>
    <t>JAS informed</t>
  </si>
  <si>
    <t>Repair Panel</t>
  </si>
  <si>
    <t>WENA150289</t>
  </si>
  <si>
    <t>HLBU8178797</t>
  </si>
  <si>
    <t>WENA150200</t>
  </si>
  <si>
    <t>WENA150091</t>
  </si>
  <si>
    <t>QIBU1242915</t>
  </si>
  <si>
    <t>In stock</t>
  </si>
  <si>
    <t>WH LICESHIELD RECY 170X8MX-12ES6KG 1830</t>
  </si>
  <si>
    <t>SALTEN</t>
  </si>
  <si>
    <t>WENA150090</t>
  </si>
  <si>
    <t>WECF005369</t>
  </si>
  <si>
    <t>GLS - 2511017</t>
  </si>
  <si>
    <t>HLBU8324720</t>
  </si>
  <si>
    <t>HLBU8185625</t>
  </si>
  <si>
    <t>WECF005370</t>
  </si>
  <si>
    <t>GLS - 2511018</t>
  </si>
  <si>
    <t>RN26007</t>
  </si>
  <si>
    <t>NP-160STWx1.2+20+15/SACEFob/1.5mm-19.5HM</t>
  </si>
  <si>
    <t>WENA185574</t>
  </si>
  <si>
    <t>HLBU8056607</t>
  </si>
  <si>
    <t>WENA185575</t>
  </si>
  <si>
    <t>1280MM BLACK STRAP VELCRO WITHOUT EYE</t>
  </si>
  <si>
    <t>MEDU4711735</t>
  </si>
  <si>
    <t>960MM ORANGE STRAP VELCRO WITH EYE</t>
  </si>
  <si>
    <t>WEEC018830</t>
  </si>
  <si>
    <t>WEEC018822</t>
  </si>
  <si>
    <t>822600010/ 822600008/ 822600014</t>
  </si>
  <si>
    <t>100450/ 100439/ 100453</t>
  </si>
  <si>
    <t>WEEC018798</t>
  </si>
  <si>
    <t>WEEC018800</t>
  </si>
  <si>
    <t>NP-160STWx1.2+20+15/SACEFob/1.8mm-30.5HM</t>
  </si>
  <si>
    <t>WENA185441</t>
  </si>
  <si>
    <t>HLBU8216623</t>
  </si>
  <si>
    <t>Ikke Semi trailer - styr siste gang - lite plass</t>
  </si>
  <si>
    <t>WHLICESHIELD RECY150X10MX-12ES4KG1777 SP</t>
  </si>
  <si>
    <t>MEDU4489150</t>
  </si>
  <si>
    <t>In Storage</t>
  </si>
  <si>
    <t>Rope</t>
  </si>
  <si>
    <t>WEEC018802</t>
  </si>
  <si>
    <t>WEEC018804</t>
  </si>
  <si>
    <t>Garware Technical Fibres AS</t>
  </si>
  <si>
    <t>WEEC018805</t>
  </si>
  <si>
    <t>WEEC018806</t>
  </si>
  <si>
    <t>WEEC018831</t>
  </si>
  <si>
    <t>WEEC018832</t>
  </si>
  <si>
    <t>WEEC018833</t>
  </si>
  <si>
    <t>WEEC018842</t>
  </si>
  <si>
    <t>45GP</t>
  </si>
  <si>
    <t>RW25060</t>
  </si>
  <si>
    <t>NC-157mCir/1.2+15+18/SAPACEFob/1.8mm-30H</t>
  </si>
  <si>
    <t>WENA178127</t>
  </si>
  <si>
    <t>HLBU8147137</t>
  </si>
  <si>
    <t>VAT invoice 100337 (credited) Inv 100339</t>
  </si>
  <si>
    <t>RM26001</t>
  </si>
  <si>
    <t>NP-157mCx1.2+15+15/SACEFob/1.8mm-27mmHM</t>
  </si>
  <si>
    <t>WENA182288</t>
  </si>
  <si>
    <t>QIBU1244374</t>
  </si>
  <si>
    <t>Original invoice 100405 credited on 100436 - new invoice to be issued with correct price - New invoice SAP 822600006</t>
  </si>
  <si>
    <t>WENA182784</t>
  </si>
  <si>
    <t>HLBU8056572</t>
  </si>
  <si>
    <t>WEEC018843</t>
  </si>
  <si>
    <t>WENA178226</t>
  </si>
  <si>
    <t>HLBU8055473</t>
  </si>
  <si>
    <t>VAT invoice 100342</t>
  </si>
  <si>
    <t>RepairPanl-5x5mSq/SapACEFoB/1.8mm-30HM</t>
  </si>
  <si>
    <t>WENA178508</t>
  </si>
  <si>
    <t>RepairPanl-5x5mSq /SAPACEFob/1.8mm-50IFM</t>
  </si>
  <si>
    <t>WENA180186</t>
  </si>
  <si>
    <t>HLBU8134607</t>
  </si>
  <si>
    <t>Hapag sent invoice for many charges</t>
  </si>
  <si>
    <t>QIBU1236147</t>
  </si>
  <si>
    <t>RepairPanl-5x5mSq /SapACECB/1.8mm-45IM</t>
  </si>
  <si>
    <t>WENA179657</t>
  </si>
  <si>
    <t>NP-157mSpg/1.2+15+18/SACEFob/1.8-30.5HM</t>
  </si>
  <si>
    <t>WENA181730</t>
  </si>
  <si>
    <t>FANU3240660</t>
  </si>
  <si>
    <t>Rotterdam to Bergen by boat 20th March</t>
  </si>
  <si>
    <t>WENA181731</t>
  </si>
  <si>
    <t>WENA181789</t>
  </si>
  <si>
    <t>WENA181283</t>
  </si>
  <si>
    <t>HAMU2113947</t>
  </si>
  <si>
    <t>WENA181371</t>
  </si>
  <si>
    <t>WENA181459</t>
  </si>
  <si>
    <t>8E X2 NEO NW 56.0MM 220M GRN UV NOEYE S</t>
  </si>
  <si>
    <t>8E X2 NEO NW 64.0MM 220M GRN UV NOEYE S</t>
  </si>
  <si>
    <t>HLBU8232959</t>
  </si>
  <si>
    <t>NP-157/152mCx1.2+15+18/SACEFob/1.5-22HM</t>
  </si>
  <si>
    <t>WENA181919</t>
  </si>
  <si>
    <t>HLBU8052469</t>
  </si>
  <si>
    <t>WENA182055</t>
  </si>
  <si>
    <t>RepairPanel-5x5mSq/SACEFob/1.8mm-30.5HM</t>
  </si>
  <si>
    <t>WENA183313</t>
  </si>
  <si>
    <t>HLBU8192877</t>
  </si>
  <si>
    <t>WENA182007</t>
  </si>
  <si>
    <t>HLBU8213521</t>
  </si>
  <si>
    <t>HLBU8217785</t>
  </si>
  <si>
    <t>RepairPanel-5x5mSq/SACEFob/1.5mm-22HM</t>
  </si>
  <si>
    <t>WENA182316</t>
  </si>
  <si>
    <t>WENA182780</t>
  </si>
  <si>
    <t>HLBU8332979</t>
  </si>
  <si>
    <t>WENA182781</t>
  </si>
  <si>
    <t>WENA182786</t>
  </si>
  <si>
    <t>WENA181739</t>
  </si>
  <si>
    <t>HLBU8333764</t>
  </si>
  <si>
    <t>WENA181963</t>
  </si>
  <si>
    <t>WENA182183</t>
  </si>
  <si>
    <t>RepairPanel-5x5mSq/SACEFob/1.8mm-27HM</t>
  </si>
  <si>
    <t>WENA182046</t>
  </si>
  <si>
    <t>HLBU8218950</t>
  </si>
  <si>
    <t>WENA182347</t>
  </si>
  <si>
    <t>HLBU8335052</t>
  </si>
  <si>
    <t>WENA185285</t>
  </si>
  <si>
    <t>WENA182349</t>
  </si>
  <si>
    <t>?</t>
  </si>
  <si>
    <t>NP-157/152mCx1.2+15+15/SACEFob/1.8-27HM</t>
  </si>
  <si>
    <t>WENA180890</t>
  </si>
  <si>
    <t>HLBU8324192</t>
  </si>
  <si>
    <t>WENA181190</t>
  </si>
  <si>
    <t>HLBU8215885</t>
  </si>
  <si>
    <t>WENA181529</t>
  </si>
  <si>
    <t>WENA181800</t>
  </si>
  <si>
    <t>HLBU8222523</t>
  </si>
  <si>
    <t>WENA182045</t>
  </si>
  <si>
    <t>WENA182137</t>
  </si>
  <si>
    <t>WENA181840</t>
  </si>
  <si>
    <t>WENA182156</t>
  </si>
  <si>
    <t>WENA182319</t>
  </si>
  <si>
    <t>HLBU8333701</t>
  </si>
  <si>
    <t>WENA182364</t>
  </si>
  <si>
    <t>HLBU8092965</t>
  </si>
  <si>
    <t>WENA184190</t>
  </si>
  <si>
    <t>HLBU8078268</t>
  </si>
  <si>
    <t>WENA184343</t>
  </si>
  <si>
    <t>WENA184439</t>
  </si>
  <si>
    <t>HLBU8129811</t>
  </si>
  <si>
    <t>WENA183856</t>
  </si>
  <si>
    <t>HLBU8144781</t>
  </si>
  <si>
    <t>WENA184010</t>
  </si>
  <si>
    <t>WENA181790</t>
  </si>
  <si>
    <t>HLBU2049473</t>
  </si>
  <si>
    <t>WEEC019079</t>
  </si>
  <si>
    <t>WEEC019082</t>
  </si>
  <si>
    <t>WENA183846</t>
  </si>
  <si>
    <t>HLBU8214678</t>
  </si>
  <si>
    <t>WENA184192</t>
  </si>
  <si>
    <t>WENA183969</t>
  </si>
  <si>
    <t>WENA183327</t>
  </si>
  <si>
    <t>QIBU1236620</t>
  </si>
  <si>
    <t>WENA184828</t>
  </si>
  <si>
    <t>HLBU8053188</t>
  </si>
  <si>
    <t>WENA184829</t>
  </si>
  <si>
    <t>WENA185063</t>
  </si>
  <si>
    <t>HLBU8132693</t>
  </si>
  <si>
    <t>RepairPanel-5x5mSq/SACEFob/1.5mm-21.5HM</t>
  </si>
  <si>
    <t>WENA181856</t>
  </si>
  <si>
    <t>RepairPanel-5x5mSq/SACEFob/1.5mm-19.5HM</t>
  </si>
  <si>
    <t>WENA184193</t>
  </si>
  <si>
    <t>WENA181805</t>
  </si>
  <si>
    <t>RepairPanel-5x5mSq/SCFRBlu/1.8mm-19.5HM</t>
  </si>
  <si>
    <t>WENA185456</t>
  </si>
  <si>
    <t>WENA181853</t>
  </si>
  <si>
    <t>WENA182132</t>
  </si>
  <si>
    <t>WENA182365</t>
  </si>
  <si>
    <t>NP-157/152mCx1.2+15+18/SACEFob/1.8-27HM</t>
  </si>
  <si>
    <t>HLBU8179427</t>
  </si>
  <si>
    <t>WENA185448</t>
  </si>
  <si>
    <t>NP-157mSpg/1.2+15+18/SACEFob/1.5mm-22HM</t>
  </si>
  <si>
    <t>WENA185374</t>
  </si>
  <si>
    <t>HLBU8305253</t>
  </si>
  <si>
    <t>WENA185516</t>
  </si>
  <si>
    <t>WENA185573</t>
  </si>
  <si>
    <t>WENA185630</t>
  </si>
  <si>
    <t>HLBU8301284</t>
  </si>
  <si>
    <t>WENA185764</t>
  </si>
  <si>
    <t>WENA186431</t>
  </si>
  <si>
    <t>WENA185942</t>
  </si>
  <si>
    <t>HLBU8144652</t>
  </si>
  <si>
    <t>WENA186489</t>
  </si>
  <si>
    <t>WENA185584</t>
  </si>
  <si>
    <t>WENA185906</t>
  </si>
  <si>
    <t>HLXU3626854</t>
  </si>
  <si>
    <t>Need to set out on dock 18.08.26</t>
  </si>
  <si>
    <t>WENA186621</t>
  </si>
  <si>
    <t>HLBU8150629</t>
  </si>
  <si>
    <t>WENA183557</t>
  </si>
  <si>
    <t>RM26022</t>
  </si>
  <si>
    <t>WENA186879</t>
  </si>
  <si>
    <t>WENA183642</t>
  </si>
  <si>
    <t>WENA185629</t>
  </si>
  <si>
    <t>HLBU8079325</t>
  </si>
  <si>
    <t>WENA185765</t>
  </si>
  <si>
    <t>WENA190552</t>
  </si>
  <si>
    <t>501-20079076</t>
  </si>
  <si>
    <t>AIR</t>
  </si>
  <si>
    <t>WENA190790</t>
  </si>
  <si>
    <t>WENA190385</t>
  </si>
  <si>
    <t>501-20079065</t>
  </si>
  <si>
    <t>WENA190386</t>
  </si>
  <si>
    <t>WENA187211</t>
  </si>
  <si>
    <t>QIBU1237415</t>
  </si>
  <si>
    <t>WECF005362</t>
  </si>
  <si>
    <t>GLS - 2511011</t>
  </si>
  <si>
    <t>WECF005363</t>
  </si>
  <si>
    <t>GLS - 2511012</t>
  </si>
  <si>
    <t>WECF005364</t>
  </si>
  <si>
    <t>GLS - 2511013</t>
  </si>
  <si>
    <t>WECF005365</t>
  </si>
  <si>
    <t>GLS - 2511014</t>
  </si>
  <si>
    <t>WENA187212</t>
  </si>
  <si>
    <t>WECF005366</t>
  </si>
  <si>
    <t>GLS - 2511015</t>
  </si>
  <si>
    <t>WECF005367</t>
  </si>
  <si>
    <t>GLS - 2511016</t>
  </si>
  <si>
    <t>NP-157/152Cx1.2+15+15/SACEFob/1.8-30.5HM</t>
  </si>
  <si>
    <t>In Transit</t>
  </si>
  <si>
    <t>WENA190889</t>
  </si>
  <si>
    <t>HLBU8073625</t>
  </si>
  <si>
    <t>Jas + Transporter informed</t>
  </si>
  <si>
    <t>WENA191125</t>
  </si>
  <si>
    <t>WENA191185</t>
  </si>
  <si>
    <t>WENA191186</t>
  </si>
  <si>
    <t>WENA190893</t>
  </si>
  <si>
    <t>HLBU8077765</t>
  </si>
  <si>
    <t>WENA190894</t>
  </si>
  <si>
    <t>WENA190219</t>
  </si>
  <si>
    <t>HLBU8099260</t>
  </si>
  <si>
    <t>WENA190958</t>
  </si>
  <si>
    <t>WENA191110</t>
  </si>
  <si>
    <t>RW LICESHIELD RECY X-12 175X8M 2001</t>
  </si>
  <si>
    <t>WEEC020080</t>
  </si>
  <si>
    <t>HLBU8212802</t>
  </si>
  <si>
    <t>JAS + Transporter informed</t>
  </si>
  <si>
    <t>WEEC020081</t>
  </si>
  <si>
    <t>WEEC020082</t>
  </si>
  <si>
    <t>WEEC020115</t>
  </si>
  <si>
    <t>WEEC020116</t>
  </si>
  <si>
    <t>WEEC020117</t>
  </si>
  <si>
    <t>WEEC020118</t>
  </si>
  <si>
    <t>WEEC020119</t>
  </si>
  <si>
    <t>WENA191323</t>
  </si>
  <si>
    <t>HLBU8064984</t>
  </si>
  <si>
    <t>RepairPanel-5x5mSq/SACEFob/1.5mm-18IHM</t>
  </si>
  <si>
    <t>WENA189619</t>
  </si>
  <si>
    <t>Stock</t>
  </si>
  <si>
    <t>WEEC020248</t>
  </si>
  <si>
    <t>HLXU5615674</t>
  </si>
  <si>
    <t>WEEC020249</t>
  </si>
  <si>
    <t>WEEC020250</t>
  </si>
  <si>
    <t>WEEC020251</t>
  </si>
  <si>
    <t>WEEC020253</t>
  </si>
  <si>
    <t>WEEC020254</t>
  </si>
  <si>
    <t>WEEC020255</t>
  </si>
  <si>
    <t>WEEC020256</t>
  </si>
  <si>
    <t>WEEC020182</t>
  </si>
  <si>
    <t>HLBU8301026</t>
  </si>
  <si>
    <t>WEEC020183</t>
  </si>
  <si>
    <t>WEEC020191</t>
  </si>
  <si>
    <t>WEEC020201</t>
  </si>
  <si>
    <t>WEEC020202</t>
  </si>
  <si>
    <t>WEEC020203</t>
  </si>
  <si>
    <t>WEEC020204</t>
  </si>
  <si>
    <t>WEEC020217</t>
  </si>
  <si>
    <t>000864</t>
  </si>
  <si>
    <t>HAMU3021465</t>
  </si>
  <si>
    <t>0013692</t>
  </si>
  <si>
    <t>NP-164mCirx1.3+18+15/KNXWht/360p-16.5HM</t>
  </si>
  <si>
    <t>WENA192543</t>
  </si>
  <si>
    <t>HAMU4766088</t>
  </si>
  <si>
    <t>WENA192544</t>
  </si>
  <si>
    <t>WENA192585</t>
  </si>
  <si>
    <t>WENA192606</t>
  </si>
  <si>
    <t>WENA192638</t>
  </si>
  <si>
    <t>WENA192639</t>
  </si>
  <si>
    <t>WENA192626</t>
  </si>
  <si>
    <t>UETU6194142</t>
  </si>
  <si>
    <t>WENA192643</t>
  </si>
  <si>
    <t>WENA192687</t>
  </si>
  <si>
    <t>WENA192627</t>
  </si>
  <si>
    <t>WENA192688</t>
  </si>
  <si>
    <t>WENA192689</t>
  </si>
  <si>
    <t>WENA192818</t>
  </si>
  <si>
    <t>HAMU5157260</t>
  </si>
  <si>
    <t>WENA192985</t>
  </si>
  <si>
    <t>WENA193022</t>
  </si>
  <si>
    <t>WENA192819</t>
  </si>
  <si>
    <t>WENA192986</t>
  </si>
  <si>
    <t>WENA193069</t>
  </si>
  <si>
    <t>WENA192628</t>
  </si>
  <si>
    <t>TRHU4717088</t>
  </si>
  <si>
    <t>WENA192629</t>
  </si>
  <si>
    <t>WENA193067</t>
  </si>
  <si>
    <t>WENA193068</t>
  </si>
  <si>
    <t>RepairPanel-5x5mSq/KNXWht/360p-16.5HM</t>
  </si>
  <si>
    <t>WENA193070</t>
  </si>
  <si>
    <t>Finnmark AS</t>
  </si>
  <si>
    <t>Fisk AS Mid</t>
  </si>
  <si>
    <t>Fisk ASA North</t>
  </si>
  <si>
    <t>Fisk AS West</t>
  </si>
  <si>
    <t>Tau AS</t>
  </si>
  <si>
    <t>Happy Laks AS</t>
  </si>
  <si>
    <t>John Smith</t>
  </si>
  <si>
    <t>Peter Kay</t>
  </si>
  <si>
    <t>Tom Andersen</t>
  </si>
  <si>
    <t>Warehouse Måløy</t>
  </si>
  <si>
    <t>EK Warehouse</t>
  </si>
  <si>
    <t>S40 Bergen</t>
  </si>
  <si>
    <t>WECC252517</t>
  </si>
  <si>
    <t>WECC252518</t>
  </si>
  <si>
    <t>Customer invoice number SAP</t>
  </si>
  <si>
    <t>Tripletex EHF nr</t>
  </si>
  <si>
    <t>Aqua Airlines</t>
  </si>
  <si>
    <t>TRANSSEA AS</t>
  </si>
  <si>
    <t>SKARSK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</si>
</sst>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d\-mmm\-yy;@"/>
    <numFmt numFmtId="165" formatCode="[$kr-414]\ #,##0.00"/>
    <numFmt numFmtId="166" formatCode="[$-409]d\-mmm\-yy;@"/>
  </numFmts>
  <fonts count="17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Aptos"/>
      <family val="2"/>
      <charset val="1"/>
    </font>
    <font>
      <sz val="11"/>
      <name val="Aptos Narrow"/>
      <family val="2"/>
      <scheme val="minor"/>
    </font>
    <font>
      <sz val="11"/>
      <color theme="1"/>
      <name val="Aptos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  <charset val="1"/>
    </font>
    <font>
      <sz val="11"/>
      <color rgb="FF000000"/>
      <name val="Aptos Narrow"/>
      <family val="2"/>
      <scheme val="minor"/>
    </font>
    <font>
      <b/>
      <sz val="11"/>
      <color rgb="FFFF0000"/>
      <name val="Calibri"/>
      <family val="2"/>
    </font>
    <font>
      <sz val="8"/>
      <name val="Aptos Narrow"/>
      <family val="2"/>
      <scheme val="minor"/>
    </font>
    <font>
      <sz val="11"/>
      <color rgb="FFFF0000"/>
      <name val="Calibri"/>
      <family val="2"/>
    </font>
    <font>
      <sz val="11"/>
      <color theme="1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  <fill>
      <patternFill patternType="solid">
        <fgColor theme="3" tint="0.749992370372631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AF2D0"/>
        <bgColor rgb="FF000000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26">
    <xf numFmtId="0" fontId="0" fillId="0" borderId="0" xfId="0"/>
    <xf numFmtId="0" fontId="2" fillId="0" borderId="0" xfId="0" applyFont="1"/>
    <xf numFmtId="0" fontId="0" fillId="0" borderId="2" xfId="0" applyBorder="1"/>
    <xf numFmtId="0" fontId="4" fillId="0" borderId="2" xfId="0" applyFont="1" applyBorder="1"/>
    <xf numFmtId="0" fontId="2" fillId="0" borderId="2" xfId="0" applyFont="1" applyBorder="1"/>
    <xf numFmtId="165" fontId="2" fillId="0" borderId="2" xfId="0" applyNumberFormat="1" applyFont="1" applyBorder="1"/>
    <xf numFmtId="4" fontId="2" fillId="0" borderId="2" xfId="0" applyNumberFormat="1" applyFont="1" applyBorder="1"/>
    <xf numFmtId="0" fontId="2" fillId="9" borderId="2" xfId="0" applyFont="1" applyFill="1" applyBorder="1"/>
    <xf numFmtId="164" fontId="3" fillId="12" borderId="2" xfId="0" applyNumberFormat="1" applyFont="1" applyFill="1" applyBorder="1"/>
    <xf numFmtId="0" fontId="4" fillId="9" borderId="2" xfId="0" applyFont="1" applyFill="1" applyBorder="1"/>
    <xf numFmtId="164" fontId="2" fillId="9" borderId="2" xfId="0" applyNumberFormat="1" applyFont="1" applyFill="1" applyBorder="1" applyAlignment="1">
      <alignment horizontal="left" vertical="top"/>
    </xf>
    <xf numFmtId="165" fontId="2" fillId="9" borderId="2" xfId="0" applyNumberFormat="1" applyFont="1" applyFill="1" applyBorder="1"/>
    <xf numFmtId="0" fontId="7" fillId="0" borderId="2" xfId="0" applyFont="1" applyBorder="1"/>
    <xf numFmtId="15" fontId="2" fillId="0" borderId="2" xfId="0" applyNumberFormat="1" applyFont="1" applyBorder="1"/>
    <xf numFmtId="164" fontId="2" fillId="0" borderId="2" xfId="0" applyNumberFormat="1" applyFont="1" applyBorder="1"/>
    <xf numFmtId="4" fontId="4" fillId="0" borderId="2" xfId="0" applyNumberFormat="1" applyFont="1" applyBorder="1"/>
    <xf numFmtId="0" fontId="2" fillId="0" borderId="2" xfId="0" applyFont="1" applyBorder="1" applyAlignment="1">
      <alignment horizontal="right"/>
    </xf>
    <xf numFmtId="0" fontId="2" fillId="9" borderId="2" xfId="0" applyFont="1" applyFill="1" applyBorder="1" applyAlignment="1">
      <alignment horizontal="right"/>
    </xf>
    <xf numFmtId="0" fontId="1" fillId="5" borderId="2" xfId="0" applyFont="1" applyFill="1" applyBorder="1" applyAlignment="1">
      <alignment vertical="center"/>
    </xf>
    <xf numFmtId="0" fontId="1" fillId="5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65" fontId="1" fillId="3" borderId="2" xfId="0" applyNumberFormat="1" applyFont="1" applyFill="1" applyBorder="1" applyAlignment="1">
      <alignment horizontal="center" vertical="center"/>
    </xf>
    <xf numFmtId="2" fontId="2" fillId="0" borderId="2" xfId="0" applyNumberFormat="1" applyFont="1" applyBorder="1" applyAlignment="1">
      <alignment horizontal="left" vertical="top"/>
    </xf>
    <xf numFmtId="0" fontId="2" fillId="10" borderId="2" xfId="0" applyFont="1" applyFill="1" applyBorder="1"/>
    <xf numFmtId="0" fontId="2" fillId="0" borderId="2" xfId="0" applyFont="1" applyBorder="1" applyAlignment="1">
      <alignment vertical="top" wrapText="1"/>
    </xf>
    <xf numFmtId="166" fontId="2" fillId="0" borderId="2" xfId="0" applyNumberFormat="1" applyFont="1" applyBorder="1"/>
    <xf numFmtId="0" fontId="2" fillId="0" borderId="2" xfId="0" applyFont="1" applyBorder="1" applyAlignment="1">
      <alignment wrapText="1"/>
    </xf>
    <xf numFmtId="0" fontId="3" fillId="6" borderId="7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 vertical="top"/>
    </xf>
    <xf numFmtId="0" fontId="4" fillId="0" borderId="2" xfId="0" applyFont="1" applyBorder="1" applyAlignment="1">
      <alignment vertical="top"/>
    </xf>
    <xf numFmtId="0" fontId="2" fillId="0" borderId="2" xfId="0" applyFon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15" fontId="2" fillId="0" borderId="2" xfId="0" applyNumberFormat="1" applyFont="1" applyBorder="1" applyAlignment="1">
      <alignment vertical="top"/>
    </xf>
    <xf numFmtId="164" fontId="2" fillId="0" borderId="2" xfId="0" applyNumberFormat="1" applyFont="1" applyBorder="1" applyAlignment="1">
      <alignment vertical="top"/>
    </xf>
    <xf numFmtId="0" fontId="2" fillId="0" borderId="8" xfId="0" applyFont="1" applyBorder="1"/>
    <xf numFmtId="164" fontId="6" fillId="12" borderId="2" xfId="0" applyNumberFormat="1" applyFont="1" applyFill="1" applyBorder="1"/>
    <xf numFmtId="0" fontId="8" fillId="0" borderId="2" xfId="0" applyFont="1" applyBorder="1" applyAlignment="1">
      <alignment vertical="top"/>
    </xf>
    <xf numFmtId="0" fontId="1" fillId="4" borderId="6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center" wrapText="1"/>
    </xf>
    <xf numFmtId="0" fontId="3" fillId="12" borderId="2" xfId="0" applyFont="1" applyFill="1" applyBorder="1"/>
    <xf numFmtId="0" fontId="6" fillId="12" borderId="2" xfId="0" applyFont="1" applyFill="1" applyBorder="1"/>
    <xf numFmtId="0" fontId="5" fillId="0" borderId="2" xfId="0" applyFont="1" applyBorder="1" applyAlignment="1">
      <alignment vertical="top"/>
    </xf>
    <xf numFmtId="0" fontId="10" fillId="0" borderId="2" xfId="0" applyFont="1" applyBorder="1"/>
    <xf numFmtId="0" fontId="11" fillId="0" borderId="2" xfId="0" applyFont="1" applyBorder="1"/>
    <xf numFmtId="0" fontId="4" fillId="0" borderId="2" xfId="0" applyFont="1" applyBorder="1" applyAlignment="1">
      <alignment horizontal="right"/>
    </xf>
    <xf numFmtId="0" fontId="2" fillId="12" borderId="2" xfId="0" applyFont="1" applyFill="1" applyBorder="1"/>
    <xf numFmtId="0" fontId="1" fillId="5" borderId="2" xfId="0" applyFont="1" applyFill="1" applyBorder="1" applyAlignment="1">
      <alignment vertical="top"/>
    </xf>
    <xf numFmtId="0" fontId="1" fillId="5" borderId="2" xfId="0" applyFont="1" applyFill="1" applyBorder="1" applyAlignment="1">
      <alignment horizontal="center" vertical="top"/>
    </xf>
    <xf numFmtId="0" fontId="1" fillId="5" borderId="2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/>
    </xf>
    <xf numFmtId="164" fontId="1" fillId="2" borderId="2" xfId="0" applyNumberFormat="1" applyFont="1" applyFill="1" applyBorder="1" applyAlignment="1">
      <alignment horizontal="left" vertical="top"/>
    </xf>
    <xf numFmtId="0" fontId="1" fillId="5" borderId="1" xfId="0" applyFont="1" applyFill="1" applyBorder="1" applyAlignment="1">
      <alignment vertical="top"/>
    </xf>
    <xf numFmtId="0" fontId="2" fillId="0" borderId="0" xfId="0" applyFont="1" applyAlignment="1">
      <alignment vertical="top"/>
    </xf>
    <xf numFmtId="0" fontId="1" fillId="11" borderId="2" xfId="0" applyFont="1" applyFill="1" applyBorder="1" applyAlignment="1">
      <alignment horizontal="center" vertical="top"/>
    </xf>
    <xf numFmtId="0" fontId="1" fillId="12" borderId="2" xfId="0" applyFont="1" applyFill="1" applyBorder="1" applyAlignment="1">
      <alignment horizontal="center" vertical="top"/>
    </xf>
    <xf numFmtId="0" fontId="1" fillId="3" borderId="2" xfId="0" applyFont="1" applyFill="1" applyBorder="1" applyAlignment="1">
      <alignment horizontal="left" vertical="top"/>
    </xf>
    <xf numFmtId="0" fontId="1" fillId="3" borderId="2" xfId="0" applyFont="1" applyFill="1" applyBorder="1" applyAlignment="1">
      <alignment horizontal="center" vertical="top"/>
    </xf>
    <xf numFmtId="0" fontId="1" fillId="4" borderId="2" xfId="0" applyFont="1" applyFill="1" applyBorder="1" applyAlignment="1">
      <alignment vertical="top"/>
    </xf>
    <xf numFmtId="0" fontId="1" fillId="4" borderId="2" xfId="0" applyFont="1" applyFill="1" applyBorder="1" applyAlignment="1">
      <alignment vertical="top" wrapText="1"/>
    </xf>
    <xf numFmtId="0" fontId="1" fillId="4" borderId="2" xfId="0" applyFont="1" applyFill="1" applyBorder="1" applyAlignment="1">
      <alignment horizontal="left" vertical="top"/>
    </xf>
    <xf numFmtId="0" fontId="1" fillId="4" borderId="2" xfId="0" applyFont="1" applyFill="1" applyBorder="1" applyAlignment="1">
      <alignment horizontal="left" vertical="top" wrapText="1"/>
    </xf>
    <xf numFmtId="0" fontId="1" fillId="8" borderId="2" xfId="0" applyFont="1" applyFill="1" applyBorder="1" applyAlignment="1">
      <alignment horizontal="center" vertical="top"/>
    </xf>
    <xf numFmtId="0" fontId="3" fillId="12" borderId="2" xfId="0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9" borderId="2" xfId="0" applyFont="1" applyFill="1" applyBorder="1" applyAlignment="1">
      <alignment vertical="top"/>
    </xf>
    <xf numFmtId="0" fontId="2" fillId="0" borderId="3" xfId="0" applyFont="1" applyBorder="1" applyAlignment="1">
      <alignment vertical="top"/>
    </xf>
    <xf numFmtId="2" fontId="2" fillId="0" borderId="2" xfId="0" applyNumberFormat="1" applyFont="1" applyBorder="1" applyAlignment="1">
      <alignment horizontal="right" vertical="top"/>
    </xf>
    <xf numFmtId="0" fontId="4" fillId="0" borderId="3" xfId="0" applyFont="1" applyBorder="1"/>
    <xf numFmtId="0" fontId="2" fillId="12" borderId="2" xfId="0" applyFont="1" applyFill="1" applyBorder="1" applyAlignment="1">
      <alignment vertical="top"/>
    </xf>
    <xf numFmtId="165" fontId="2" fillId="0" borderId="2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vertical="top"/>
    </xf>
    <xf numFmtId="4" fontId="2" fillId="12" borderId="2" xfId="0" applyNumberFormat="1" applyFont="1" applyFill="1" applyBorder="1" applyAlignment="1">
      <alignment vertical="top"/>
    </xf>
    <xf numFmtId="0" fontId="9" fillId="0" borderId="2" xfId="0" applyFont="1" applyBorder="1"/>
    <xf numFmtId="0" fontId="5" fillId="0" borderId="2" xfId="0" applyFont="1" applyBorder="1"/>
    <xf numFmtId="15" fontId="2" fillId="9" borderId="2" xfId="0" applyNumberFormat="1" applyFont="1" applyFill="1" applyBorder="1" applyAlignment="1">
      <alignment vertical="top"/>
    </xf>
    <xf numFmtId="164" fontId="3" fillId="0" borderId="2" xfId="0" applyNumberFormat="1" applyFont="1" applyBorder="1" applyAlignment="1">
      <alignment vertical="top"/>
    </xf>
    <xf numFmtId="0" fontId="2" fillId="7" borderId="2" xfId="0" applyFont="1" applyFill="1" applyBorder="1" applyAlignment="1">
      <alignment vertical="top"/>
    </xf>
    <xf numFmtId="0" fontId="1" fillId="5" borderId="2" xfId="0" applyFont="1" applyFill="1" applyBorder="1" applyAlignment="1">
      <alignment horizontal="right" vertical="top"/>
    </xf>
    <xf numFmtId="4" fontId="4" fillId="13" borderId="2" xfId="0" applyNumberFormat="1" applyFont="1" applyFill="1" applyBorder="1"/>
    <xf numFmtId="0" fontId="1" fillId="2" borderId="2" xfId="0" applyFont="1" applyFill="1" applyBorder="1" applyAlignment="1">
      <alignment horizontal="left" vertical="center"/>
    </xf>
    <xf numFmtId="0" fontId="15" fillId="0" borderId="2" xfId="0" applyFont="1" applyBorder="1" applyAlignment="1">
      <alignment vertical="top"/>
    </xf>
    <xf numFmtId="0" fontId="3" fillId="7" borderId="3" xfId="0" applyFont="1" applyFill="1" applyBorder="1" applyAlignment="1">
      <alignment horizontal="center" vertical="top"/>
    </xf>
    <xf numFmtId="0" fontId="2" fillId="0" borderId="2" xfId="0" applyFont="1" applyBorder="1" applyAlignment="1">
      <alignment horizontal="right" vertical="top" wrapText="1"/>
    </xf>
    <xf numFmtId="0" fontId="2" fillId="0" borderId="9" xfId="0" applyFont="1" applyBorder="1" applyAlignment="1">
      <alignment vertical="top"/>
    </xf>
    <xf numFmtId="164" fontId="2" fillId="12" borderId="2" xfId="0" applyNumberFormat="1" applyFont="1" applyFill="1" applyBorder="1" applyAlignment="1">
      <alignment horizontal="left" vertical="top"/>
    </xf>
    <xf numFmtId="0" fontId="2" fillId="0" borderId="11" xfId="0" applyFont="1" applyBorder="1" applyAlignment="1">
      <alignment vertical="top"/>
    </xf>
    <xf numFmtId="0" fontId="3" fillId="7" borderId="2" xfId="0" applyFont="1" applyFill="1" applyBorder="1" applyAlignment="1">
      <alignment vertical="top"/>
    </xf>
    <xf numFmtId="0" fontId="2" fillId="12" borderId="2" xfId="0" applyFont="1" applyFill="1" applyBorder="1" applyAlignment="1">
      <alignment horizontal="right"/>
    </xf>
    <xf numFmtId="0" fontId="2" fillId="12" borderId="10" xfId="0" applyFont="1" applyFill="1" applyBorder="1" applyAlignment="1">
      <alignment vertical="top"/>
    </xf>
    <xf numFmtId="0" fontId="11" fillId="0" borderId="9" xfId="0" applyFont="1" applyBorder="1"/>
    <xf numFmtId="0" fontId="0" fillId="12" borderId="2" xfId="0" applyFill="1" applyBorder="1"/>
    <xf numFmtId="0" fontId="4" fillId="12" borderId="2" xfId="0" applyFont="1" applyFill="1" applyBorder="1"/>
    <xf numFmtId="15" fontId="2" fillId="12" borderId="2" xfId="0" applyNumberFormat="1" applyFont="1" applyFill="1" applyBorder="1" applyAlignment="1">
      <alignment vertical="top"/>
    </xf>
    <xf numFmtId="15" fontId="16" fillId="0" borderId="2" xfId="0" applyNumberFormat="1" applyFont="1" applyBorder="1" applyAlignment="1">
      <alignment vertical="top"/>
    </xf>
    <xf numFmtId="0" fontId="4" fillId="0" borderId="9" xfId="0" applyFont="1" applyBorder="1"/>
    <xf numFmtId="0" fontId="2" fillId="12" borderId="11" xfId="0" applyFont="1" applyFill="1" applyBorder="1" applyAlignment="1">
      <alignment vertical="top"/>
    </xf>
    <xf numFmtId="0" fontId="2" fillId="14" borderId="2" xfId="0" applyFont="1" applyFill="1" applyBorder="1" applyAlignment="1">
      <alignment vertical="top"/>
    </xf>
    <xf numFmtId="0" fontId="12" fillId="0" borderId="2" xfId="0" applyFont="1" applyBorder="1" applyAlignment="1">
      <alignment vertical="top"/>
    </xf>
    <xf numFmtId="0" fontId="11" fillId="12" borderId="2" xfId="0" applyFont="1" applyFill="1" applyBorder="1"/>
    <xf numFmtId="0" fontId="2" fillId="0" borderId="9" xfId="0" applyFont="1" applyBorder="1" applyAlignment="1">
      <alignment horizontal="right"/>
    </xf>
    <xf numFmtId="0" fontId="4" fillId="12" borderId="2" xfId="0" applyFont="1" applyFill="1" applyBorder="1" applyAlignment="1">
      <alignment horizontal="right"/>
    </xf>
    <xf numFmtId="0" fontId="12" fillId="12" borderId="2" xfId="0" applyFont="1" applyFill="1" applyBorder="1" applyAlignment="1">
      <alignment vertical="top"/>
    </xf>
    <xf numFmtId="4" fontId="4" fillId="12" borderId="2" xfId="0" applyNumberFormat="1" applyFont="1" applyFill="1" applyBorder="1"/>
    <xf numFmtId="0" fontId="11" fillId="12" borderId="4" xfId="0" applyFont="1" applyFill="1" applyBorder="1"/>
    <xf numFmtId="0" fontId="13" fillId="12" borderId="2" xfId="0" applyFont="1" applyFill="1" applyBorder="1" applyAlignment="1">
      <alignment vertical="top"/>
    </xf>
    <xf numFmtId="164" fontId="1" fillId="12" borderId="2" xfId="0" applyNumberFormat="1" applyFont="1" applyFill="1" applyBorder="1"/>
    <xf numFmtId="0" fontId="5" fillId="12" borderId="2" xfId="0" applyFont="1" applyFill="1" applyBorder="1"/>
    <xf numFmtId="0" fontId="1" fillId="2" borderId="6" xfId="0" applyFont="1" applyFill="1" applyBorder="1" applyAlignment="1">
      <alignment horizontal="center" vertical="top"/>
    </xf>
    <xf numFmtId="0" fontId="1" fillId="2" borderId="7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0" fontId="3" fillId="6" borderId="6" xfId="0" applyFont="1" applyFill="1" applyBorder="1" applyAlignment="1">
      <alignment horizontal="center" vertical="top"/>
    </xf>
    <xf numFmtId="0" fontId="3" fillId="6" borderId="7" xfId="0" applyFont="1" applyFill="1" applyBorder="1" applyAlignment="1">
      <alignment horizontal="right"/>
    </xf>
    <xf numFmtId="0" fontId="3" fillId="6" borderId="7" xfId="0" applyFont="1" applyFill="1" applyBorder="1" applyAlignment="1">
      <alignment horizontal="center" vertical="top"/>
    </xf>
    <xf numFmtId="0" fontId="3" fillId="6" borderId="7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 vertical="top"/>
    </xf>
    <xf numFmtId="0" fontId="3" fillId="7" borderId="6" xfId="0" applyFont="1" applyFill="1" applyBorder="1" applyAlignment="1">
      <alignment horizontal="center" vertical="top"/>
    </xf>
    <xf numFmtId="0" fontId="3" fillId="7" borderId="7" xfId="0" applyFont="1" applyFill="1" applyBorder="1" applyAlignment="1">
      <alignment horizontal="center" vertical="top"/>
    </xf>
    <xf numFmtId="0" fontId="1" fillId="3" borderId="3" xfId="0" applyFont="1" applyFill="1" applyBorder="1" applyAlignment="1">
      <alignment horizontal="center" vertical="top"/>
    </xf>
    <xf numFmtId="165" fontId="1" fillId="3" borderId="3" xfId="0" applyNumberFormat="1" applyFont="1" applyFill="1" applyBorder="1" applyAlignment="1">
      <alignment horizontal="center" vertical="top"/>
    </xf>
    <xf numFmtId="0" fontId="1" fillId="3" borderId="7" xfId="0" applyFont="1" applyFill="1" applyBorder="1" applyAlignment="1">
      <alignment horizontal="center" vertical="top"/>
    </xf>
    <xf numFmtId="0" fontId="1" fillId="12" borderId="7" xfId="0" applyFont="1" applyFill="1" applyBorder="1" applyAlignment="1">
      <alignment horizontal="center" vertical="top"/>
    </xf>
    <xf numFmtId="0" fontId="1" fillId="3" borderId="5" xfId="0" applyFont="1" applyFill="1" applyBorder="1" applyAlignment="1">
      <alignment horizontal="center" vertical="top"/>
    </xf>
    <xf numFmtId="0" fontId="1" fillId="4" borderId="7" xfId="0" applyFont="1" applyFill="1" applyBorder="1" applyAlignment="1">
      <alignment horizontal="center" vertical="top"/>
    </xf>
    <xf numFmtId="0" fontId="1" fillId="4" borderId="7" xfId="0" applyFont="1" applyFill="1" applyBorder="1" applyAlignment="1">
      <alignment horizontal="center" vertical="top" wrapText="1"/>
    </xf>
    <xf numFmtId="0" fontId="1" fillId="4" borderId="5" xfId="0" applyFont="1" applyFill="1" applyBorder="1" applyAlignment="1">
      <alignment horizontal="center" vertical="top"/>
    </xf>
  </cellXfs>
  <cellStyles count="1">
    <cellStyle name="Normal" xfId="0" builtinId="0"/>
  </cellStyles>
  <dxfs count="54"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F7EE88"/>
      <color rgb="FFFFE9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isa Woods" id="{48814D06-B3BD-4460-8923-9400D4BC2735}" userId="S::lwoods@garwarefibres.com::8950bd68-8e93-4007-a1d9-f6638ca0a920" providerId="AD"/>
</personList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16" dT="2026-06-18T09:56:27.93" personId="{48814D06-B3BD-4460-8923-9400D4BC2735}" id="{0AC3639A-B27C-4387-9C4B-D1848C3D2806}">
    <text>Damaged under transport/ loading-offloading</text>
  </threadedComment>
  <threadedComment ref="M17" dT="2026-06-18T09:56:52.33" personId="{48814D06-B3BD-4460-8923-9400D4BC2735}" id="{6DC26D3F-C6DB-4E49-9AD4-C040DE9720C2}">
    <text>Damaged under transport/ loading-offloading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4300D-9A59-4B25-8784-2C53E0A2DA64}">
  <sheetPr>
    <pageSetUpPr fitToPage="1"/>
  </sheetPr>
  <dimension ref="A1:BJ182"/>
  <sheetViews>
    <sheetView tabSelected="1" topLeftCell="AT1" zoomScale="110" zoomScaleNormal="110" workbookViewId="0">
      <pane ySplit="2" topLeftCell="A135" activePane="bottomLeft" state="frozen"/>
      <selection pane="bottomLeft" activeCell="X2" sqref="X2"/>
    </sheetView>
  </sheetViews>
  <sheetFormatPr baseColWidth="10" defaultColWidth="9.109375" defaultRowHeight="14.25" customHeight="1" x14ac:dyDescent="0.3"/>
  <cols>
    <col min="1" max="1" width="31.88671875" style="31" bestFit="1" customWidth="1"/>
    <col min="2" max="2" width="14" style="16" customWidth="1"/>
    <col min="3" max="3" width="13.109375" style="31" customWidth="1"/>
    <col min="4" max="4" width="12.88671875" style="31" customWidth="1"/>
    <col min="5" max="5" width="16.109375" style="4" customWidth="1"/>
    <col min="6" max="6" width="14" style="31" customWidth="1"/>
    <col min="7" max="7" width="44.33203125" style="31" customWidth="1"/>
    <col min="8" max="8" width="4.6640625" style="31" customWidth="1"/>
    <col min="9" max="9" width="7.33203125" style="31" customWidth="1"/>
    <col min="10" max="10" width="12.109375" style="31" customWidth="1"/>
    <col min="11" max="11" width="12.44140625" style="31" customWidth="1"/>
    <col min="12" max="12" width="13.44140625" style="31" customWidth="1"/>
    <col min="13" max="13" width="16.33203125" style="31" customWidth="1"/>
    <col min="14" max="14" width="23.88671875" style="4" customWidth="1"/>
    <col min="15" max="15" width="16.44140625" style="4" customWidth="1"/>
    <col min="16" max="16" width="18.6640625" style="4" customWidth="1"/>
    <col min="17" max="17" width="19.44140625" style="31" customWidth="1"/>
    <col min="18" max="18" width="21.44140625" style="4" customWidth="1"/>
    <col min="19" max="19" width="17.5546875" style="4" hidden="1" customWidth="1"/>
    <col min="20" max="20" width="12.109375" style="4" customWidth="1"/>
    <col min="21" max="21" width="15.33203125" style="4" customWidth="1"/>
    <col min="22" max="22" width="20.77734375" style="4" customWidth="1"/>
    <col min="23" max="23" width="20.44140625" style="4" customWidth="1"/>
    <col min="24" max="24" width="14.88671875" style="4" customWidth="1"/>
    <col min="25" max="25" width="14.5546875" style="4" customWidth="1"/>
    <col min="26" max="26" width="11" style="76" customWidth="1"/>
    <col min="27" max="27" width="29.44140625" style="4" customWidth="1"/>
    <col min="28" max="28" width="15.33203125" style="4" hidden="1" customWidth="1"/>
    <col min="29" max="29" width="16.88671875" style="31" customWidth="1"/>
    <col min="30" max="30" width="19.5546875" style="4" hidden="1" customWidth="1"/>
    <col min="31" max="31" width="18.33203125" style="4" customWidth="1"/>
    <col min="32" max="32" width="22.88671875" style="4" customWidth="1"/>
    <col min="33" max="33" width="33.6640625" style="4" customWidth="1"/>
    <col min="34" max="34" width="17.109375" style="5" customWidth="1"/>
    <col min="35" max="35" width="13.88671875" style="4" hidden="1" customWidth="1"/>
    <col min="36" max="36" width="10.33203125" style="31" customWidth="1"/>
    <col min="37" max="37" width="14.6640625" style="31" customWidth="1"/>
    <col min="38" max="38" width="17.44140625" style="31" customWidth="1"/>
    <col min="39" max="39" width="15.6640625" style="69" customWidth="1"/>
    <col min="40" max="40" width="20" style="31" customWidth="1"/>
    <col min="41" max="41" width="10.33203125" style="31" customWidth="1"/>
    <col min="42" max="42" width="75" style="31" customWidth="1"/>
    <col min="43" max="43" width="56.109375" style="31" customWidth="1"/>
    <col min="44" max="44" width="37.44140625" style="31" customWidth="1"/>
    <col min="45" max="45" width="21.5546875" style="31" customWidth="1"/>
    <col min="46" max="46" width="31.5546875" style="31" customWidth="1"/>
    <col min="47" max="47" width="11.5546875" style="31" customWidth="1"/>
    <col min="48" max="48" width="13.5546875" style="31" customWidth="1"/>
    <col min="49" max="49" width="16.44140625" style="31" customWidth="1"/>
    <col min="50" max="50" width="16.109375" style="31" customWidth="1"/>
    <col min="51" max="51" width="18.109375" style="31" customWidth="1"/>
    <col min="52" max="52" width="32.88671875" style="25" customWidth="1"/>
    <col min="53" max="53" width="24.5546875" style="31" customWidth="1"/>
    <col min="54" max="54" width="17.33203125" style="31" customWidth="1"/>
    <col min="55" max="55" width="19.33203125" style="31" customWidth="1"/>
    <col min="56" max="56" width="23.109375" style="31" customWidth="1"/>
    <col min="57" max="57" width="14.44140625" style="31" customWidth="1"/>
    <col min="58" max="58" width="27.109375" style="31" customWidth="1"/>
    <col min="59" max="59" width="26.88671875" style="31" bestFit="1" customWidth="1"/>
    <col min="60" max="60" width="15.109375" style="31" bestFit="1" customWidth="1"/>
    <col min="61" max="61" width="149.33203125" style="31" bestFit="1" customWidth="1"/>
    <col min="62" max="16384" width="9.109375" style="53"/>
  </cols>
  <sheetData>
    <row r="1" spans="1:62" ht="14.25" customHeight="1" x14ac:dyDescent="0.3">
      <c r="A1" s="111" t="s">
        <v>0</v>
      </c>
      <c r="B1" s="112"/>
      <c r="C1" s="113"/>
      <c r="D1" s="113"/>
      <c r="E1" s="114"/>
      <c r="F1" s="113"/>
      <c r="G1" s="113"/>
      <c r="H1" s="113"/>
      <c r="I1" s="113"/>
      <c r="J1" s="113"/>
      <c r="K1" s="113"/>
      <c r="L1" s="113"/>
      <c r="M1" s="115"/>
      <c r="N1" s="28"/>
      <c r="O1" s="28"/>
      <c r="P1" s="108" t="s">
        <v>1</v>
      </c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10"/>
      <c r="AD1" s="29"/>
      <c r="AE1" s="118" t="s">
        <v>2</v>
      </c>
      <c r="AF1" s="118"/>
      <c r="AG1" s="118"/>
      <c r="AH1" s="119"/>
      <c r="AI1" s="118"/>
      <c r="AJ1" s="120"/>
      <c r="AK1" s="120"/>
      <c r="AL1" s="120"/>
      <c r="AM1" s="121"/>
      <c r="AN1" s="120"/>
      <c r="AO1" s="120"/>
      <c r="AP1" s="120"/>
      <c r="AQ1" s="120"/>
      <c r="AR1" s="120"/>
      <c r="AS1" s="122"/>
      <c r="AT1" s="52"/>
      <c r="AU1" s="38"/>
      <c r="AV1" s="123" t="s">
        <v>3</v>
      </c>
      <c r="AW1" s="123"/>
      <c r="AX1" s="123"/>
      <c r="AY1" s="123"/>
      <c r="AZ1" s="124"/>
      <c r="BA1" s="123"/>
      <c r="BB1" s="123"/>
      <c r="BC1" s="123"/>
      <c r="BD1" s="123"/>
      <c r="BE1" s="123"/>
      <c r="BF1" s="125"/>
      <c r="BG1" s="116" t="s">
        <v>4</v>
      </c>
      <c r="BH1" s="117"/>
      <c r="BI1" s="82"/>
    </row>
    <row r="2" spans="1:62" s="31" customFormat="1" ht="14.25" customHeight="1" x14ac:dyDescent="0.3">
      <c r="A2" s="47" t="s">
        <v>5</v>
      </c>
      <c r="B2" s="78" t="s">
        <v>6</v>
      </c>
      <c r="C2" s="48" t="s">
        <v>7</v>
      </c>
      <c r="D2" s="48" t="s">
        <v>8</v>
      </c>
      <c r="E2" s="19" t="s">
        <v>9</v>
      </c>
      <c r="F2" s="47" t="s">
        <v>10</v>
      </c>
      <c r="G2" s="47" t="s">
        <v>11</v>
      </c>
      <c r="H2" s="49" t="s">
        <v>12</v>
      </c>
      <c r="I2" s="49" t="s">
        <v>13</v>
      </c>
      <c r="J2" s="48" t="s">
        <v>14</v>
      </c>
      <c r="K2" s="48" t="s">
        <v>15</v>
      </c>
      <c r="L2" s="47" t="s">
        <v>16</v>
      </c>
      <c r="M2" s="47" t="s">
        <v>17</v>
      </c>
      <c r="N2" s="18" t="s">
        <v>18</v>
      </c>
      <c r="O2" s="18" t="s">
        <v>19</v>
      </c>
      <c r="P2" s="20" t="s">
        <v>20</v>
      </c>
      <c r="Q2" s="50" t="s">
        <v>21</v>
      </c>
      <c r="R2" s="20" t="s">
        <v>22</v>
      </c>
      <c r="S2" s="20" t="s">
        <v>23</v>
      </c>
      <c r="T2" s="20" t="s">
        <v>24</v>
      </c>
      <c r="U2" s="20" t="s">
        <v>25</v>
      </c>
      <c r="V2" s="20" t="s">
        <v>26</v>
      </c>
      <c r="W2" s="39" t="s">
        <v>27</v>
      </c>
      <c r="X2" s="20" t="s">
        <v>28</v>
      </c>
      <c r="Y2" s="20" t="s">
        <v>29</v>
      </c>
      <c r="Z2" s="51" t="s">
        <v>30</v>
      </c>
      <c r="AA2" s="20" t="s">
        <v>31</v>
      </c>
      <c r="AB2" s="20" t="s">
        <v>32</v>
      </c>
      <c r="AC2" s="50" t="s">
        <v>33</v>
      </c>
      <c r="AD2" s="80" t="s">
        <v>34</v>
      </c>
      <c r="AE2" s="21" t="s">
        <v>35</v>
      </c>
      <c r="AF2" s="21" t="s">
        <v>36</v>
      </c>
      <c r="AG2" s="21" t="s">
        <v>37</v>
      </c>
      <c r="AH2" s="22" t="s">
        <v>38</v>
      </c>
      <c r="AI2" s="21" t="s">
        <v>39</v>
      </c>
      <c r="AJ2" s="54" t="s">
        <v>40</v>
      </c>
      <c r="AK2" s="54" t="s">
        <v>41</v>
      </c>
      <c r="AL2" s="54" t="s">
        <v>42</v>
      </c>
      <c r="AM2" s="55" t="s">
        <v>43</v>
      </c>
      <c r="AN2" s="56" t="s">
        <v>44</v>
      </c>
      <c r="AO2" s="56" t="s">
        <v>45</v>
      </c>
      <c r="AP2" s="57" t="s">
        <v>46</v>
      </c>
      <c r="AQ2" s="57" t="s">
        <v>47</v>
      </c>
      <c r="AR2" s="57" t="s">
        <v>48</v>
      </c>
      <c r="AS2" s="57" t="s">
        <v>49</v>
      </c>
      <c r="AT2" s="47" t="s">
        <v>50</v>
      </c>
      <c r="AU2" s="58" t="s">
        <v>51</v>
      </c>
      <c r="AV2" s="58" t="s">
        <v>52</v>
      </c>
      <c r="AW2" s="59" t="s">
        <v>53</v>
      </c>
      <c r="AX2" s="58" t="s">
        <v>54</v>
      </c>
      <c r="AY2" s="60" t="s">
        <v>55</v>
      </c>
      <c r="AZ2" s="61" t="s">
        <v>56</v>
      </c>
      <c r="BA2" s="60" t="s">
        <v>57</v>
      </c>
      <c r="BB2" s="60" t="s">
        <v>58</v>
      </c>
      <c r="BC2" s="60" t="s">
        <v>59</v>
      </c>
      <c r="BD2" s="60" t="s">
        <v>60</v>
      </c>
      <c r="BE2" s="60" t="s">
        <v>61</v>
      </c>
      <c r="BF2" s="60" t="s">
        <v>62</v>
      </c>
      <c r="BG2" s="62" t="s">
        <v>424</v>
      </c>
      <c r="BH2" s="62" t="s">
        <v>425</v>
      </c>
      <c r="BI2" s="62" t="s">
        <v>63</v>
      </c>
      <c r="BJ2" s="71"/>
    </row>
    <row r="3" spans="1:62" s="4" customFormat="1" ht="14.25" customHeight="1" x14ac:dyDescent="0.3">
      <c r="A3" s="31" t="s">
        <v>413</v>
      </c>
      <c r="B3" s="16">
        <v>55000005</v>
      </c>
      <c r="C3" s="40">
        <v>862400836</v>
      </c>
      <c r="D3" s="4">
        <v>442400123</v>
      </c>
      <c r="E3" s="3">
        <v>25403000462</v>
      </c>
      <c r="F3" s="4" t="s">
        <v>74</v>
      </c>
      <c r="G3" s="4" t="s">
        <v>75</v>
      </c>
      <c r="H3" s="4">
        <v>1</v>
      </c>
      <c r="I3" s="4" t="s">
        <v>64</v>
      </c>
      <c r="J3" s="6">
        <v>151</v>
      </c>
      <c r="K3" s="6">
        <v>183</v>
      </c>
      <c r="L3" s="42" t="s">
        <v>76</v>
      </c>
      <c r="M3" s="4">
        <v>2406048</v>
      </c>
      <c r="N3" s="4" t="s">
        <v>69</v>
      </c>
      <c r="O3" s="4" t="s">
        <v>417</v>
      </c>
      <c r="P3" s="4" t="s">
        <v>65</v>
      </c>
      <c r="Q3" s="4" t="s">
        <v>66</v>
      </c>
      <c r="R3" s="3" t="s">
        <v>73</v>
      </c>
      <c r="T3" s="9" t="s">
        <v>71</v>
      </c>
      <c r="U3" s="9" t="s">
        <v>427</v>
      </c>
      <c r="V3" s="9" t="s">
        <v>67</v>
      </c>
      <c r="W3" s="4">
        <f t="shared" ref="W3:W7" si="0">_xlfn.DAYS(Z3,X3)</f>
        <v>51</v>
      </c>
      <c r="X3" s="10">
        <v>45535</v>
      </c>
      <c r="Y3" s="10">
        <v>45586</v>
      </c>
      <c r="Z3" s="8">
        <v>45586</v>
      </c>
      <c r="AC3" s="30" t="s">
        <v>77</v>
      </c>
      <c r="AE3" s="4" t="s">
        <v>69</v>
      </c>
      <c r="AH3" s="5"/>
      <c r="AJ3" s="4" t="s">
        <v>70</v>
      </c>
      <c r="AK3" s="13">
        <v>45586</v>
      </c>
      <c r="AL3" s="4" t="s">
        <v>419</v>
      </c>
      <c r="AM3" s="79"/>
      <c r="BF3" s="67"/>
      <c r="BJ3" s="35"/>
    </row>
    <row r="4" spans="1:62" s="31" customFormat="1" ht="14.25" customHeight="1" x14ac:dyDescent="0.3">
      <c r="A4" s="31" t="s">
        <v>411</v>
      </c>
      <c r="B4" s="17"/>
      <c r="C4" s="41">
        <v>862401890</v>
      </c>
      <c r="D4" s="4">
        <v>442400398</v>
      </c>
      <c r="E4" s="4">
        <v>45407002198</v>
      </c>
      <c r="F4" s="31" t="s">
        <v>89</v>
      </c>
      <c r="G4" s="4" t="s">
        <v>91</v>
      </c>
      <c r="H4" s="4">
        <v>1</v>
      </c>
      <c r="I4" s="7" t="s">
        <v>64</v>
      </c>
      <c r="J4" s="6">
        <v>3724</v>
      </c>
      <c r="K4" s="6">
        <v>3824</v>
      </c>
      <c r="L4" s="4" t="s">
        <v>92</v>
      </c>
      <c r="M4" s="4">
        <v>2501043</v>
      </c>
      <c r="N4" s="4" t="s">
        <v>69</v>
      </c>
      <c r="O4" s="4" t="s">
        <v>417</v>
      </c>
      <c r="P4" s="7" t="s">
        <v>65</v>
      </c>
      <c r="Q4" s="4" t="s">
        <v>78</v>
      </c>
      <c r="R4" s="4" t="s">
        <v>93</v>
      </c>
      <c r="S4" s="4"/>
      <c r="T4" s="9" t="s">
        <v>71</v>
      </c>
      <c r="U4" s="9" t="s">
        <v>427</v>
      </c>
      <c r="V4" s="9" t="s">
        <v>67</v>
      </c>
      <c r="W4" s="4">
        <f t="shared" ref="W4:W6" si="1">_xlfn.DAYS(Z4,X4)</f>
        <v>67</v>
      </c>
      <c r="X4" s="10">
        <v>45722</v>
      </c>
      <c r="Y4" s="10">
        <v>45764</v>
      </c>
      <c r="Z4" s="8">
        <v>45789</v>
      </c>
      <c r="AA4" s="14">
        <v>45782</v>
      </c>
      <c r="AB4" s="23">
        <f t="shared" ref="AB4" si="2">DAYS360(AA4,Z4)</f>
        <v>7</v>
      </c>
      <c r="AC4" s="30" t="s">
        <v>77</v>
      </c>
      <c r="AD4" s="9"/>
      <c r="AE4" s="4" t="s">
        <v>69</v>
      </c>
      <c r="AF4" s="7"/>
      <c r="AG4" s="7"/>
      <c r="AH4" s="70"/>
      <c r="AI4" s="26">
        <v>45792</v>
      </c>
      <c r="AJ4" s="4" t="s">
        <v>70</v>
      </c>
      <c r="AK4" s="13">
        <v>45792</v>
      </c>
      <c r="AL4" s="7" t="s">
        <v>420</v>
      </c>
      <c r="AM4" s="79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67"/>
      <c r="BG4" s="4">
        <v>812500025</v>
      </c>
      <c r="BH4" s="4">
        <v>100207</v>
      </c>
      <c r="BI4" s="4"/>
      <c r="BJ4" s="71"/>
    </row>
    <row r="5" spans="1:62" s="4" customFormat="1" ht="14.25" customHeight="1" x14ac:dyDescent="0.3">
      <c r="A5" s="3" t="s">
        <v>94</v>
      </c>
      <c r="B5" s="16" t="s">
        <v>95</v>
      </c>
      <c r="C5" s="40">
        <v>862501962</v>
      </c>
      <c r="D5" s="31">
        <v>442500416</v>
      </c>
      <c r="E5" s="4">
        <v>45407002456</v>
      </c>
      <c r="F5" s="31" t="s">
        <v>79</v>
      </c>
      <c r="G5" s="31" t="s">
        <v>96</v>
      </c>
      <c r="H5" s="31">
        <v>1</v>
      </c>
      <c r="I5" s="7" t="s">
        <v>64</v>
      </c>
      <c r="J5" s="32">
        <v>3639</v>
      </c>
      <c r="K5" s="32">
        <v>3739</v>
      </c>
      <c r="L5" s="31" t="s">
        <v>97</v>
      </c>
      <c r="M5" s="31">
        <v>2602071</v>
      </c>
      <c r="N5" s="4" t="s">
        <v>69</v>
      </c>
      <c r="O5" s="4" t="s">
        <v>418</v>
      </c>
      <c r="P5" s="4" t="s">
        <v>65</v>
      </c>
      <c r="Q5" s="31" t="s">
        <v>66</v>
      </c>
      <c r="R5" s="4" t="s">
        <v>98</v>
      </c>
      <c r="S5" s="4">
        <v>1</v>
      </c>
      <c r="T5" s="4" t="s">
        <v>99</v>
      </c>
      <c r="U5" s="9" t="s">
        <v>427</v>
      </c>
      <c r="V5" s="31" t="s">
        <v>67</v>
      </c>
      <c r="W5" s="4">
        <f t="shared" si="0"/>
        <v>49</v>
      </c>
      <c r="X5" s="10">
        <v>46118</v>
      </c>
      <c r="Y5" s="10">
        <v>46156</v>
      </c>
      <c r="Z5" s="8">
        <v>46167</v>
      </c>
      <c r="AC5" s="31" t="s">
        <v>100</v>
      </c>
      <c r="AD5" s="4" t="s">
        <v>101</v>
      </c>
      <c r="AE5" s="4" t="s">
        <v>69</v>
      </c>
      <c r="AH5" s="5"/>
      <c r="AJ5" s="31" t="s">
        <v>70</v>
      </c>
      <c r="AK5" s="33">
        <v>46167</v>
      </c>
      <c r="AL5" s="4" t="s">
        <v>419</v>
      </c>
      <c r="AM5" s="69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25"/>
      <c r="BA5" s="31"/>
      <c r="BB5" s="31"/>
      <c r="BC5" s="31"/>
      <c r="BD5" s="31"/>
      <c r="BE5" s="31"/>
      <c r="BF5" s="31"/>
      <c r="BG5" s="31"/>
      <c r="BH5" s="31"/>
      <c r="BI5" s="31"/>
      <c r="BJ5" s="35"/>
    </row>
    <row r="6" spans="1:62" s="4" customFormat="1" ht="14.25" customHeight="1" x14ac:dyDescent="0.3">
      <c r="A6" s="3" t="s">
        <v>94</v>
      </c>
      <c r="B6" s="16" t="s">
        <v>95</v>
      </c>
      <c r="C6" s="40">
        <v>862501962</v>
      </c>
      <c r="D6" s="31">
        <v>442500416</v>
      </c>
      <c r="E6" s="4">
        <v>45407002456</v>
      </c>
      <c r="F6" s="31" t="s">
        <v>79</v>
      </c>
      <c r="G6" s="31" t="s">
        <v>96</v>
      </c>
      <c r="H6" s="31">
        <v>1</v>
      </c>
      <c r="I6" s="7" t="s">
        <v>64</v>
      </c>
      <c r="J6" s="32">
        <v>3639</v>
      </c>
      <c r="K6" s="32">
        <v>3739</v>
      </c>
      <c r="L6" s="31" t="s">
        <v>102</v>
      </c>
      <c r="M6" s="31">
        <v>2602072</v>
      </c>
      <c r="N6" s="4" t="s">
        <v>69</v>
      </c>
      <c r="O6" s="4" t="s">
        <v>418</v>
      </c>
      <c r="P6" s="4" t="s">
        <v>65</v>
      </c>
      <c r="Q6" s="31" t="s">
        <v>66</v>
      </c>
      <c r="R6" s="4" t="s">
        <v>98</v>
      </c>
      <c r="T6" s="4" t="s">
        <v>99</v>
      </c>
      <c r="U6" s="9" t="s">
        <v>427</v>
      </c>
      <c r="V6" s="31" t="s">
        <v>67</v>
      </c>
      <c r="W6" s="4">
        <f t="shared" si="1"/>
        <v>49</v>
      </c>
      <c r="X6" s="10">
        <v>46118</v>
      </c>
      <c r="Y6" s="10">
        <v>46156</v>
      </c>
      <c r="Z6" s="8">
        <v>46167</v>
      </c>
      <c r="AC6" s="31" t="s">
        <v>100</v>
      </c>
      <c r="AD6" s="4" t="s">
        <v>101</v>
      </c>
      <c r="AE6" s="4" t="s">
        <v>69</v>
      </c>
      <c r="AH6" s="5"/>
      <c r="AJ6" s="31" t="s">
        <v>70</v>
      </c>
      <c r="AK6" s="33">
        <v>46167</v>
      </c>
      <c r="AL6" s="4" t="s">
        <v>419</v>
      </c>
      <c r="AM6" s="69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25"/>
      <c r="BA6" s="31"/>
      <c r="BB6" s="31"/>
      <c r="BC6" s="31"/>
      <c r="BD6" s="31"/>
      <c r="BE6" s="31"/>
      <c r="BF6" s="31"/>
      <c r="BG6" s="31"/>
      <c r="BH6" s="31"/>
      <c r="BI6" s="31"/>
      <c r="BJ6" s="35"/>
    </row>
    <row r="7" spans="1:62" s="4" customFormat="1" ht="14.25" customHeight="1" x14ac:dyDescent="0.3">
      <c r="A7" s="3" t="s">
        <v>94</v>
      </c>
      <c r="B7" s="16" t="s">
        <v>95</v>
      </c>
      <c r="C7" s="40">
        <v>862600031</v>
      </c>
      <c r="D7" s="31">
        <v>442500416</v>
      </c>
      <c r="E7" s="4">
        <v>45407002456</v>
      </c>
      <c r="F7" s="31" t="s">
        <v>79</v>
      </c>
      <c r="G7" s="31" t="s">
        <v>96</v>
      </c>
      <c r="H7" s="31">
        <v>1</v>
      </c>
      <c r="I7" s="7" t="s">
        <v>64</v>
      </c>
      <c r="J7" s="32">
        <v>3639</v>
      </c>
      <c r="K7" s="32">
        <v>3739</v>
      </c>
      <c r="L7" s="31" t="s">
        <v>106</v>
      </c>
      <c r="M7" s="31">
        <v>2603005</v>
      </c>
      <c r="N7" s="4" t="s">
        <v>69</v>
      </c>
      <c r="O7" s="4" t="s">
        <v>418</v>
      </c>
      <c r="P7" s="4" t="s">
        <v>65</v>
      </c>
      <c r="Q7" s="31" t="s">
        <v>66</v>
      </c>
      <c r="R7" s="4" t="s">
        <v>107</v>
      </c>
      <c r="S7" s="4">
        <v>1</v>
      </c>
      <c r="T7" s="4" t="s">
        <v>108</v>
      </c>
      <c r="U7" s="9" t="s">
        <v>427</v>
      </c>
      <c r="V7" s="31" t="s">
        <v>67</v>
      </c>
      <c r="W7" s="4">
        <f t="shared" si="0"/>
        <v>41</v>
      </c>
      <c r="X7" s="10">
        <v>46140</v>
      </c>
      <c r="Y7" s="10">
        <v>46179</v>
      </c>
      <c r="Z7" s="8">
        <v>46181</v>
      </c>
      <c r="AC7" s="31" t="s">
        <v>100</v>
      </c>
      <c r="AE7" s="4" t="s">
        <v>69</v>
      </c>
      <c r="AH7" s="5"/>
      <c r="AJ7" s="31" t="s">
        <v>70</v>
      </c>
      <c r="AK7" s="33">
        <v>46182</v>
      </c>
      <c r="AL7" s="4" t="s">
        <v>419</v>
      </c>
      <c r="AM7" s="69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25"/>
      <c r="BA7" s="31"/>
      <c r="BB7" s="31"/>
      <c r="BC7" s="31"/>
      <c r="BD7" s="31"/>
      <c r="BE7" s="31"/>
      <c r="BF7" s="31"/>
      <c r="BG7" s="31"/>
      <c r="BH7" s="31"/>
      <c r="BI7" s="31"/>
      <c r="BJ7" s="35"/>
    </row>
    <row r="8" spans="1:62" s="4" customFormat="1" ht="14.25" customHeight="1" x14ac:dyDescent="0.3">
      <c r="A8" s="3" t="s">
        <v>94</v>
      </c>
      <c r="B8" s="16" t="s">
        <v>109</v>
      </c>
      <c r="C8" s="40">
        <v>862501535</v>
      </c>
      <c r="D8" s="31">
        <v>442500313</v>
      </c>
      <c r="E8" s="4">
        <v>45407002443</v>
      </c>
      <c r="F8" s="31" t="s">
        <v>89</v>
      </c>
      <c r="G8" s="31" t="s">
        <v>110</v>
      </c>
      <c r="H8" s="31">
        <v>1</v>
      </c>
      <c r="I8" s="7" t="s">
        <v>64</v>
      </c>
      <c r="J8" s="32">
        <v>4407</v>
      </c>
      <c r="K8" s="32">
        <v>4507</v>
      </c>
      <c r="L8" s="31" t="s">
        <v>111</v>
      </c>
      <c r="M8" s="31">
        <v>2512013</v>
      </c>
      <c r="N8" s="4" t="s">
        <v>69</v>
      </c>
      <c r="O8" s="4" t="s">
        <v>416</v>
      </c>
      <c r="P8" s="4" t="s">
        <v>65</v>
      </c>
      <c r="Q8" s="31" t="s">
        <v>78</v>
      </c>
      <c r="R8" s="4" t="s">
        <v>112</v>
      </c>
      <c r="T8" s="4" t="s">
        <v>99</v>
      </c>
      <c r="U8" s="9" t="s">
        <v>427</v>
      </c>
      <c r="V8" s="31" t="s">
        <v>67</v>
      </c>
      <c r="W8" s="4">
        <f t="shared" ref="W8:W12" si="3">_xlfn.DAYS(Z8,X8)</f>
        <v>45</v>
      </c>
      <c r="X8" s="10">
        <v>46037</v>
      </c>
      <c r="Y8" s="10">
        <v>46094</v>
      </c>
      <c r="Z8" s="8">
        <v>46082</v>
      </c>
      <c r="AC8" s="31" t="s">
        <v>100</v>
      </c>
      <c r="AE8" s="4" t="s">
        <v>69</v>
      </c>
      <c r="AH8" s="5"/>
      <c r="AI8" s="14">
        <v>46084</v>
      </c>
      <c r="AJ8" s="31" t="s">
        <v>70</v>
      </c>
      <c r="AK8" s="33">
        <v>46084</v>
      </c>
      <c r="AL8" s="7" t="s">
        <v>420</v>
      </c>
      <c r="AM8" s="69"/>
      <c r="AN8" s="31"/>
      <c r="AO8" s="31"/>
      <c r="AP8" s="43"/>
      <c r="AQ8" s="31"/>
      <c r="AR8" s="31"/>
      <c r="AS8" s="31"/>
      <c r="AT8" s="31"/>
      <c r="AU8" s="31"/>
      <c r="AV8" s="31"/>
      <c r="AW8" s="31"/>
      <c r="AX8" s="31"/>
      <c r="AY8" s="31"/>
      <c r="AZ8" s="25"/>
      <c r="BA8" s="31"/>
      <c r="BB8" s="31"/>
      <c r="BC8" s="31"/>
      <c r="BD8" s="31"/>
      <c r="BE8" s="31"/>
      <c r="BF8" s="31"/>
      <c r="BG8" s="31"/>
      <c r="BH8" s="31"/>
      <c r="BI8" s="31"/>
      <c r="BJ8" s="35"/>
    </row>
    <row r="9" spans="1:62" s="4" customFormat="1" ht="14.25" customHeight="1" x14ac:dyDescent="0.3">
      <c r="A9" s="3" t="s">
        <v>94</v>
      </c>
      <c r="B9" s="16" t="s">
        <v>109</v>
      </c>
      <c r="C9" s="40">
        <v>862501596</v>
      </c>
      <c r="D9" s="31">
        <v>442500313</v>
      </c>
      <c r="E9" s="4">
        <v>45407002443</v>
      </c>
      <c r="F9" s="31" t="s">
        <v>89</v>
      </c>
      <c r="G9" s="31" t="s">
        <v>110</v>
      </c>
      <c r="H9" s="31">
        <v>1</v>
      </c>
      <c r="I9" s="7" t="s">
        <v>64</v>
      </c>
      <c r="J9" s="32">
        <v>4438</v>
      </c>
      <c r="K9" s="32">
        <v>4538</v>
      </c>
      <c r="L9" s="31" t="s">
        <v>113</v>
      </c>
      <c r="M9" s="31">
        <v>2512020</v>
      </c>
      <c r="N9" s="4" t="s">
        <v>69</v>
      </c>
      <c r="O9" s="4" t="s">
        <v>416</v>
      </c>
      <c r="P9" s="4" t="s">
        <v>65</v>
      </c>
      <c r="Q9" s="31" t="s">
        <v>78</v>
      </c>
      <c r="R9" s="3" t="s">
        <v>114</v>
      </c>
      <c r="T9" s="4" t="s">
        <v>99</v>
      </c>
      <c r="U9" s="9" t="s">
        <v>427</v>
      </c>
      <c r="V9" s="31" t="s">
        <v>67</v>
      </c>
      <c r="W9" s="4">
        <f t="shared" si="3"/>
        <v>68</v>
      </c>
      <c r="X9" s="10">
        <v>46052</v>
      </c>
      <c r="Y9" s="10">
        <v>46094</v>
      </c>
      <c r="Z9" s="36">
        <v>46120</v>
      </c>
      <c r="AC9" s="31" t="s">
        <v>100</v>
      </c>
      <c r="AD9" s="13" t="s">
        <v>115</v>
      </c>
      <c r="AE9" s="4" t="s">
        <v>69</v>
      </c>
      <c r="AH9" s="5"/>
      <c r="AJ9" s="31" t="s">
        <v>70</v>
      </c>
      <c r="AK9" s="33">
        <v>46121</v>
      </c>
      <c r="AL9" s="7" t="s">
        <v>420</v>
      </c>
      <c r="AM9" s="69"/>
      <c r="AN9" s="31"/>
      <c r="AO9" s="31"/>
      <c r="AP9" s="43"/>
      <c r="AQ9" s="31"/>
      <c r="AR9" s="31"/>
      <c r="AS9" s="31"/>
      <c r="AT9" s="31"/>
      <c r="AU9" s="31"/>
      <c r="AV9" s="31"/>
      <c r="AW9" s="31"/>
      <c r="AX9" s="31"/>
      <c r="AY9" s="31"/>
      <c r="AZ9" s="25"/>
      <c r="BA9" s="31"/>
      <c r="BB9" s="31"/>
      <c r="BC9" s="31"/>
      <c r="BD9" s="31"/>
      <c r="BE9" s="31"/>
      <c r="BF9" s="31"/>
      <c r="BG9" s="31"/>
      <c r="BH9" s="31"/>
      <c r="BI9" s="31"/>
      <c r="BJ9" s="35"/>
    </row>
    <row r="10" spans="1:62" s="4" customFormat="1" ht="14.25" customHeight="1" x14ac:dyDescent="0.3">
      <c r="A10" s="31" t="s">
        <v>413</v>
      </c>
      <c r="B10" s="45">
        <v>55000005</v>
      </c>
      <c r="C10" s="41">
        <v>862401100</v>
      </c>
      <c r="D10" s="3">
        <v>442400222</v>
      </c>
      <c r="E10" s="74">
        <v>45407002138</v>
      </c>
      <c r="F10" s="98" t="s">
        <v>116</v>
      </c>
      <c r="G10" s="3" t="s">
        <v>105</v>
      </c>
      <c r="H10" s="3">
        <v>1</v>
      </c>
      <c r="I10" s="3" t="s">
        <v>64</v>
      </c>
      <c r="J10" s="15">
        <v>14</v>
      </c>
      <c r="K10" s="15">
        <v>15</v>
      </c>
      <c r="L10" s="44" t="s">
        <v>117</v>
      </c>
      <c r="M10" s="45" t="s">
        <v>72</v>
      </c>
      <c r="N10" s="4" t="s">
        <v>69</v>
      </c>
      <c r="O10" s="4" t="s">
        <v>417</v>
      </c>
      <c r="P10" s="3" t="s">
        <v>65</v>
      </c>
      <c r="Q10" s="3" t="s">
        <v>66</v>
      </c>
      <c r="R10" s="44" t="s">
        <v>118</v>
      </c>
      <c r="T10" s="9" t="s">
        <v>71</v>
      </c>
      <c r="U10" s="9" t="s">
        <v>427</v>
      </c>
      <c r="V10" s="9" t="s">
        <v>67</v>
      </c>
      <c r="W10" s="4">
        <f t="shared" si="3"/>
        <v>44</v>
      </c>
      <c r="X10" s="10">
        <v>45573</v>
      </c>
      <c r="Y10" s="10">
        <v>45617</v>
      </c>
      <c r="Z10" s="8">
        <v>45617</v>
      </c>
      <c r="AC10" s="30" t="s">
        <v>68</v>
      </c>
      <c r="AE10" s="4" t="s">
        <v>69</v>
      </c>
      <c r="AH10" s="5"/>
      <c r="AJ10" s="4" t="s">
        <v>70</v>
      </c>
      <c r="AK10" s="13">
        <v>45618</v>
      </c>
      <c r="AL10" s="4" t="s">
        <v>419</v>
      </c>
      <c r="AM10" s="79"/>
      <c r="AN10" s="13">
        <v>46216</v>
      </c>
      <c r="BF10" s="67"/>
      <c r="BJ10" s="35"/>
    </row>
    <row r="11" spans="1:62" s="24" customFormat="1" ht="14.25" customHeight="1" x14ac:dyDescent="0.3">
      <c r="A11" s="31" t="s">
        <v>413</v>
      </c>
      <c r="B11" s="45">
        <v>55000005</v>
      </c>
      <c r="C11" s="41">
        <v>862401100</v>
      </c>
      <c r="D11" s="3">
        <v>442400222</v>
      </c>
      <c r="E11" s="74">
        <v>45407002138</v>
      </c>
      <c r="F11" s="98" t="s">
        <v>116</v>
      </c>
      <c r="G11" s="3" t="s">
        <v>105</v>
      </c>
      <c r="H11" s="3">
        <v>1</v>
      </c>
      <c r="I11" s="3" t="s">
        <v>64</v>
      </c>
      <c r="J11" s="15">
        <v>14</v>
      </c>
      <c r="K11" s="15">
        <v>15</v>
      </c>
      <c r="L11" s="44" t="s">
        <v>119</v>
      </c>
      <c r="M11" s="45" t="s">
        <v>72</v>
      </c>
      <c r="N11" s="4" t="s">
        <v>69</v>
      </c>
      <c r="O11" s="4" t="s">
        <v>417</v>
      </c>
      <c r="P11" s="3" t="s">
        <v>65</v>
      </c>
      <c r="Q11" s="3" t="s">
        <v>66</v>
      </c>
      <c r="R11" s="44" t="s">
        <v>118</v>
      </c>
      <c r="S11" s="4"/>
      <c r="T11" s="9" t="s">
        <v>71</v>
      </c>
      <c r="U11" s="9" t="s">
        <v>427</v>
      </c>
      <c r="V11" s="9" t="s">
        <v>67</v>
      </c>
      <c r="W11" s="4">
        <f t="shared" si="3"/>
        <v>44</v>
      </c>
      <c r="X11" s="10">
        <v>45573</v>
      </c>
      <c r="Y11" s="10">
        <v>45617</v>
      </c>
      <c r="Z11" s="8">
        <v>45617</v>
      </c>
      <c r="AA11" s="4"/>
      <c r="AB11" s="4"/>
      <c r="AC11" s="30" t="s">
        <v>68</v>
      </c>
      <c r="AD11" s="4"/>
      <c r="AE11" s="4" t="s">
        <v>69</v>
      </c>
      <c r="AF11" s="4"/>
      <c r="AG11" s="4"/>
      <c r="AH11" s="5"/>
      <c r="AI11" s="4"/>
      <c r="AJ11" s="4" t="s">
        <v>70</v>
      </c>
      <c r="AK11" s="13">
        <v>45618</v>
      </c>
      <c r="AL11" s="4" t="s">
        <v>419</v>
      </c>
      <c r="AM11" s="79"/>
      <c r="AN11" s="13">
        <v>46216</v>
      </c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67"/>
      <c r="BG11" s="4"/>
      <c r="BH11" s="4"/>
      <c r="BI11" s="4"/>
      <c r="BJ11" s="35"/>
    </row>
    <row r="12" spans="1:62" s="24" customFormat="1" ht="14.25" customHeight="1" x14ac:dyDescent="0.3">
      <c r="A12" s="31" t="s">
        <v>413</v>
      </c>
      <c r="B12" s="45">
        <v>55000005</v>
      </c>
      <c r="C12" s="41">
        <v>862401099</v>
      </c>
      <c r="D12" s="3">
        <v>442400222</v>
      </c>
      <c r="E12" s="74">
        <v>45407002138</v>
      </c>
      <c r="F12" s="98" t="s">
        <v>116</v>
      </c>
      <c r="G12" s="3" t="s">
        <v>105</v>
      </c>
      <c r="H12" s="3">
        <v>1</v>
      </c>
      <c r="I12" s="3" t="s">
        <v>64</v>
      </c>
      <c r="J12" s="15">
        <v>14</v>
      </c>
      <c r="K12" s="15">
        <v>15</v>
      </c>
      <c r="L12" s="44" t="s">
        <v>120</v>
      </c>
      <c r="M12" s="45" t="s">
        <v>72</v>
      </c>
      <c r="N12" s="4" t="s">
        <v>69</v>
      </c>
      <c r="O12" s="4" t="s">
        <v>417</v>
      </c>
      <c r="P12" s="3" t="s">
        <v>65</v>
      </c>
      <c r="Q12" s="3" t="s">
        <v>66</v>
      </c>
      <c r="R12" s="44" t="s">
        <v>121</v>
      </c>
      <c r="S12" s="4"/>
      <c r="T12" s="9" t="s">
        <v>71</v>
      </c>
      <c r="U12" s="9" t="s">
        <v>427</v>
      </c>
      <c r="V12" s="9" t="s">
        <v>67</v>
      </c>
      <c r="W12" s="4">
        <f t="shared" si="3"/>
        <v>44</v>
      </c>
      <c r="X12" s="10">
        <v>45573</v>
      </c>
      <c r="Y12" s="10">
        <v>45617</v>
      </c>
      <c r="Z12" s="8">
        <v>45617</v>
      </c>
      <c r="AA12" s="4"/>
      <c r="AB12" s="4"/>
      <c r="AC12" s="30" t="s">
        <v>68</v>
      </c>
      <c r="AD12" s="4"/>
      <c r="AE12" s="4" t="s">
        <v>69</v>
      </c>
      <c r="AF12" s="4"/>
      <c r="AG12" s="4"/>
      <c r="AH12" s="5"/>
      <c r="AI12" s="4"/>
      <c r="AJ12" s="4" t="s">
        <v>70</v>
      </c>
      <c r="AK12" s="13">
        <v>45618</v>
      </c>
      <c r="AL12" s="4" t="s">
        <v>419</v>
      </c>
      <c r="AM12" s="79"/>
      <c r="AN12" s="13">
        <v>46216</v>
      </c>
      <c r="AO12" s="4"/>
      <c r="AP12" s="46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67"/>
      <c r="BG12" s="4"/>
      <c r="BH12" s="4"/>
      <c r="BI12" s="4"/>
      <c r="BJ12" s="35"/>
    </row>
    <row r="13" spans="1:62" s="4" customFormat="1" ht="14.25" customHeight="1" x14ac:dyDescent="0.3">
      <c r="A13" s="31" t="s">
        <v>413</v>
      </c>
      <c r="B13" s="101">
        <v>55000005</v>
      </c>
      <c r="C13" s="41">
        <v>862401099</v>
      </c>
      <c r="D13" s="92">
        <v>442400222</v>
      </c>
      <c r="E13" s="107">
        <v>45407002138</v>
      </c>
      <c r="F13" s="102" t="s">
        <v>116</v>
      </c>
      <c r="G13" s="92" t="s">
        <v>105</v>
      </c>
      <c r="H13" s="92">
        <v>1</v>
      </c>
      <c r="I13" s="92" t="s">
        <v>64</v>
      </c>
      <c r="J13" s="103">
        <v>14</v>
      </c>
      <c r="K13" s="103">
        <v>15</v>
      </c>
      <c r="L13" s="104" t="s">
        <v>125</v>
      </c>
      <c r="M13" s="101" t="s">
        <v>72</v>
      </c>
      <c r="N13" s="4" t="s">
        <v>69</v>
      </c>
      <c r="O13" s="4" t="s">
        <v>417</v>
      </c>
      <c r="P13" s="92" t="s">
        <v>65</v>
      </c>
      <c r="Q13" s="92" t="s">
        <v>66</v>
      </c>
      <c r="R13" s="99" t="s">
        <v>121</v>
      </c>
      <c r="S13" s="46"/>
      <c r="T13" s="92" t="s">
        <v>71</v>
      </c>
      <c r="U13" s="9" t="s">
        <v>427</v>
      </c>
      <c r="V13" s="92" t="s">
        <v>67</v>
      </c>
      <c r="W13" s="46">
        <f t="shared" ref="W13:W15" si="4">_xlfn.DAYS(Z13,X13)</f>
        <v>44</v>
      </c>
      <c r="X13" s="85">
        <v>45573</v>
      </c>
      <c r="Y13" s="10">
        <v>45617</v>
      </c>
      <c r="Z13" s="8">
        <v>45617</v>
      </c>
      <c r="AC13" s="30" t="s">
        <v>68</v>
      </c>
      <c r="AE13" s="4" t="s">
        <v>69</v>
      </c>
      <c r="AH13" s="5"/>
      <c r="AJ13" s="4" t="s">
        <v>70</v>
      </c>
      <c r="AK13" s="13">
        <v>45618</v>
      </c>
      <c r="AL13" s="4" t="s">
        <v>419</v>
      </c>
      <c r="AM13" s="79"/>
      <c r="AN13" s="13">
        <v>46216</v>
      </c>
      <c r="BF13" s="67"/>
      <c r="BJ13" s="35"/>
    </row>
    <row r="14" spans="1:62" s="4" customFormat="1" ht="14.25" customHeight="1" x14ac:dyDescent="0.3">
      <c r="A14" s="3" t="s">
        <v>94</v>
      </c>
      <c r="B14" s="16"/>
      <c r="C14" s="40">
        <v>862501335</v>
      </c>
      <c r="D14" s="31">
        <v>462500515</v>
      </c>
      <c r="E14" s="4">
        <v>45503000574</v>
      </c>
      <c r="F14" s="31" t="s">
        <v>90</v>
      </c>
      <c r="G14" s="31" t="s">
        <v>123</v>
      </c>
      <c r="H14" s="4">
        <v>1</v>
      </c>
      <c r="I14" s="7" t="s">
        <v>64</v>
      </c>
      <c r="J14" s="32">
        <v>1788</v>
      </c>
      <c r="K14" s="32">
        <v>1838</v>
      </c>
      <c r="L14" s="31" t="s">
        <v>126</v>
      </c>
      <c r="M14" s="100" t="s">
        <v>127</v>
      </c>
      <c r="N14" s="4" t="s">
        <v>69</v>
      </c>
      <c r="O14" s="4" t="s">
        <v>417</v>
      </c>
      <c r="P14" s="4" t="s">
        <v>65</v>
      </c>
      <c r="Q14" s="31" t="s">
        <v>81</v>
      </c>
      <c r="R14" s="4" t="s">
        <v>128</v>
      </c>
      <c r="T14" s="4" t="s">
        <v>99</v>
      </c>
      <c r="U14" s="9" t="s">
        <v>427</v>
      </c>
      <c r="V14" s="31" t="s">
        <v>67</v>
      </c>
      <c r="W14" s="4">
        <f t="shared" si="4"/>
        <v>40</v>
      </c>
      <c r="X14" s="10">
        <v>46003</v>
      </c>
      <c r="Y14" s="10">
        <v>46045</v>
      </c>
      <c r="Z14" s="8">
        <v>46043</v>
      </c>
      <c r="AC14" s="31" t="s">
        <v>100</v>
      </c>
      <c r="AE14" s="4" t="s">
        <v>69</v>
      </c>
      <c r="AH14" s="5"/>
      <c r="AJ14" s="31" t="s">
        <v>70</v>
      </c>
      <c r="AK14" s="33">
        <v>46043</v>
      </c>
      <c r="AL14" s="31" t="s">
        <v>421</v>
      </c>
      <c r="AM14" s="72"/>
      <c r="AN14" s="31"/>
      <c r="AO14" s="31"/>
      <c r="AP14" s="31"/>
      <c r="AQ14" s="31"/>
      <c r="AR14" s="31"/>
      <c r="AS14" s="31"/>
      <c r="AU14" s="31"/>
      <c r="AV14" s="31"/>
      <c r="AW14" s="31"/>
      <c r="AX14" s="31"/>
      <c r="AY14" s="31"/>
      <c r="AZ14" s="25"/>
      <c r="BA14" s="31"/>
      <c r="BB14" s="31"/>
      <c r="BC14" s="31"/>
      <c r="BD14" s="31"/>
      <c r="BE14" s="31"/>
      <c r="BF14" s="31"/>
      <c r="BG14" s="31"/>
      <c r="BH14" s="31"/>
      <c r="BI14" s="31"/>
      <c r="BJ14" s="35"/>
    </row>
    <row r="15" spans="1:62" s="31" customFormat="1" ht="14.25" customHeight="1" x14ac:dyDescent="0.3">
      <c r="A15" s="3" t="s">
        <v>94</v>
      </c>
      <c r="B15" s="16"/>
      <c r="C15" s="40">
        <v>862501335</v>
      </c>
      <c r="D15" s="31">
        <v>462500515</v>
      </c>
      <c r="E15" s="4">
        <v>45503000574</v>
      </c>
      <c r="F15" s="31" t="s">
        <v>90</v>
      </c>
      <c r="G15" s="31" t="s">
        <v>123</v>
      </c>
      <c r="H15" s="4">
        <v>1</v>
      </c>
      <c r="I15" s="7" t="s">
        <v>64</v>
      </c>
      <c r="J15" s="32">
        <v>1792</v>
      </c>
      <c r="K15" s="32">
        <v>1842</v>
      </c>
      <c r="L15" s="31" t="s">
        <v>130</v>
      </c>
      <c r="M15" s="16" t="s">
        <v>131</v>
      </c>
      <c r="N15" s="4" t="s">
        <v>69</v>
      </c>
      <c r="O15" s="4" t="s">
        <v>417</v>
      </c>
      <c r="P15" s="4" t="s">
        <v>65</v>
      </c>
      <c r="Q15" s="31" t="s">
        <v>81</v>
      </c>
      <c r="R15" s="4" t="s">
        <v>128</v>
      </c>
      <c r="S15" s="4"/>
      <c r="T15" s="4" t="s">
        <v>99</v>
      </c>
      <c r="U15" s="9" t="s">
        <v>427</v>
      </c>
      <c r="V15" s="31" t="s">
        <v>67</v>
      </c>
      <c r="W15" s="4">
        <f t="shared" si="4"/>
        <v>40</v>
      </c>
      <c r="X15" s="10">
        <v>46003</v>
      </c>
      <c r="Y15" s="10">
        <v>46045</v>
      </c>
      <c r="Z15" s="8">
        <v>46043</v>
      </c>
      <c r="AA15" s="4"/>
      <c r="AB15" s="4"/>
      <c r="AC15" s="31" t="s">
        <v>100</v>
      </c>
      <c r="AD15" s="4"/>
      <c r="AE15" s="4" t="s">
        <v>69</v>
      </c>
      <c r="AF15" s="4"/>
      <c r="AG15" s="4"/>
      <c r="AH15" s="5"/>
      <c r="AI15" s="4"/>
      <c r="AJ15" s="31" t="s">
        <v>70</v>
      </c>
      <c r="AK15" s="33">
        <v>46043</v>
      </c>
      <c r="AL15" s="31" t="s">
        <v>421</v>
      </c>
      <c r="AM15" s="72"/>
      <c r="AT15" s="4"/>
      <c r="AZ15" s="25"/>
      <c r="BJ15" s="35"/>
    </row>
    <row r="16" spans="1:62" s="1" customFormat="1" ht="14.25" customHeight="1" x14ac:dyDescent="0.3">
      <c r="A16" s="31" t="s">
        <v>412</v>
      </c>
      <c r="B16" s="88" t="s">
        <v>132</v>
      </c>
      <c r="C16" s="40">
        <v>862501878</v>
      </c>
      <c r="D16" s="69">
        <v>442500327</v>
      </c>
      <c r="E16" s="46">
        <v>45407002518</v>
      </c>
      <c r="F16" s="69" t="s">
        <v>79</v>
      </c>
      <c r="G16" s="69" t="s">
        <v>133</v>
      </c>
      <c r="H16" s="69">
        <v>1</v>
      </c>
      <c r="I16" s="46" t="s">
        <v>64</v>
      </c>
      <c r="J16" s="72">
        <v>5614</v>
      </c>
      <c r="K16" s="72">
        <v>5714</v>
      </c>
      <c r="L16" s="69" t="s">
        <v>134</v>
      </c>
      <c r="M16" s="105">
        <v>2602022</v>
      </c>
      <c r="N16" s="4" t="s">
        <v>69</v>
      </c>
      <c r="O16" s="4" t="s">
        <v>416</v>
      </c>
      <c r="P16" s="46" t="s">
        <v>65</v>
      </c>
      <c r="Q16" s="69" t="s">
        <v>78</v>
      </c>
      <c r="R16" s="46" t="s">
        <v>135</v>
      </c>
      <c r="S16" s="46">
        <v>1</v>
      </c>
      <c r="T16" s="46" t="s">
        <v>99</v>
      </c>
      <c r="U16" s="9" t="s">
        <v>427</v>
      </c>
      <c r="V16" s="69" t="s">
        <v>67</v>
      </c>
      <c r="W16" s="46">
        <f t="shared" ref="W16:W17" si="5">_xlfn.DAYS(Z16,X16)</f>
        <v>53</v>
      </c>
      <c r="X16" s="85">
        <v>46108</v>
      </c>
      <c r="Y16" s="10">
        <v>46149</v>
      </c>
      <c r="Z16" s="8">
        <v>46161</v>
      </c>
      <c r="AA16" s="4"/>
      <c r="AB16" s="4"/>
      <c r="AC16" s="31" t="s">
        <v>68</v>
      </c>
      <c r="AD16" s="4"/>
      <c r="AE16" s="4" t="s">
        <v>69</v>
      </c>
      <c r="AF16" s="4"/>
      <c r="AG16" s="4"/>
      <c r="AH16" s="5"/>
      <c r="AI16" s="13">
        <v>46163</v>
      </c>
      <c r="AJ16" s="31" t="s">
        <v>70</v>
      </c>
      <c r="AK16" s="33">
        <v>46163</v>
      </c>
      <c r="AL16" s="7" t="s">
        <v>420</v>
      </c>
      <c r="AM16" s="69"/>
      <c r="AN16" s="33">
        <v>46217</v>
      </c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25"/>
      <c r="BA16" s="31"/>
      <c r="BB16" s="31"/>
      <c r="BC16" s="31"/>
      <c r="BD16" s="31"/>
      <c r="BE16" s="31"/>
      <c r="BF16" s="31"/>
      <c r="BG16" s="31">
        <v>812600054</v>
      </c>
      <c r="BH16" s="31">
        <v>100425</v>
      </c>
      <c r="BI16" s="31"/>
    </row>
    <row r="17" spans="1:61" s="1" customFormat="1" ht="14.25" customHeight="1" x14ac:dyDescent="0.3">
      <c r="A17" s="31" t="s">
        <v>412</v>
      </c>
      <c r="B17" s="88" t="s">
        <v>132</v>
      </c>
      <c r="C17" s="40">
        <v>862501878</v>
      </c>
      <c r="D17" s="69">
        <v>442500327</v>
      </c>
      <c r="E17" s="46">
        <v>45407002518</v>
      </c>
      <c r="F17" s="69" t="s">
        <v>79</v>
      </c>
      <c r="G17" s="69" t="s">
        <v>133</v>
      </c>
      <c r="H17" s="69">
        <v>1</v>
      </c>
      <c r="I17" s="46" t="s">
        <v>64</v>
      </c>
      <c r="J17" s="72">
        <v>5614</v>
      </c>
      <c r="K17" s="72">
        <v>5714</v>
      </c>
      <c r="L17" s="69" t="s">
        <v>136</v>
      </c>
      <c r="M17" s="105">
        <v>2602023</v>
      </c>
      <c r="N17" s="4" t="s">
        <v>69</v>
      </c>
      <c r="O17" s="4" t="s">
        <v>416</v>
      </c>
      <c r="P17" s="46" t="s">
        <v>65</v>
      </c>
      <c r="Q17" s="69" t="s">
        <v>78</v>
      </c>
      <c r="R17" s="46" t="s">
        <v>135</v>
      </c>
      <c r="S17" s="46"/>
      <c r="T17" s="46" t="s">
        <v>99</v>
      </c>
      <c r="U17" s="9" t="s">
        <v>427</v>
      </c>
      <c r="V17" s="69" t="s">
        <v>67</v>
      </c>
      <c r="W17" s="46">
        <f t="shared" si="5"/>
        <v>53</v>
      </c>
      <c r="X17" s="85">
        <v>46108</v>
      </c>
      <c r="Y17" s="10">
        <v>46149</v>
      </c>
      <c r="Z17" s="8">
        <v>46161</v>
      </c>
      <c r="AA17" s="4"/>
      <c r="AB17" s="4"/>
      <c r="AC17" s="31" t="s">
        <v>68</v>
      </c>
      <c r="AD17" s="4"/>
      <c r="AE17" s="4" t="s">
        <v>69</v>
      </c>
      <c r="AF17" s="4"/>
      <c r="AG17" s="4"/>
      <c r="AH17" s="5"/>
      <c r="AI17" s="13">
        <v>46163</v>
      </c>
      <c r="AJ17" s="31" t="s">
        <v>70</v>
      </c>
      <c r="AK17" s="33">
        <v>46163</v>
      </c>
      <c r="AL17" s="7" t="s">
        <v>420</v>
      </c>
      <c r="AM17" s="69"/>
      <c r="AN17" s="33">
        <v>46217</v>
      </c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25"/>
      <c r="BA17" s="31"/>
      <c r="BB17" s="31"/>
      <c r="BC17" s="31"/>
      <c r="BD17" s="31"/>
      <c r="BE17" s="31"/>
      <c r="BF17" s="31"/>
      <c r="BG17" s="31">
        <v>812600054</v>
      </c>
      <c r="BH17" s="31">
        <v>100425</v>
      </c>
      <c r="BI17" s="31"/>
    </row>
    <row r="18" spans="1:61" ht="14.25" customHeight="1" x14ac:dyDescent="0.3">
      <c r="A18" s="3" t="s">
        <v>94</v>
      </c>
      <c r="C18" s="40">
        <v>862500462</v>
      </c>
      <c r="D18" s="3">
        <v>462400806</v>
      </c>
      <c r="E18" s="3">
        <v>45503000565</v>
      </c>
      <c r="F18" s="31" t="s">
        <v>82</v>
      </c>
      <c r="G18" s="31" t="s">
        <v>139</v>
      </c>
      <c r="H18" s="31">
        <v>750</v>
      </c>
      <c r="I18" s="7" t="s">
        <v>64</v>
      </c>
      <c r="J18" s="32">
        <v>31.3</v>
      </c>
      <c r="K18" s="32">
        <v>33.299999999999997</v>
      </c>
      <c r="L18" s="4" t="s">
        <v>140</v>
      </c>
      <c r="M18" s="4"/>
      <c r="N18" s="4" t="s">
        <v>69</v>
      </c>
      <c r="O18" s="4" t="s">
        <v>417</v>
      </c>
      <c r="P18" s="4" t="s">
        <v>65</v>
      </c>
      <c r="Q18" s="4" t="s">
        <v>81</v>
      </c>
      <c r="R18" s="4" t="s">
        <v>138</v>
      </c>
      <c r="T18" s="9" t="s">
        <v>71</v>
      </c>
      <c r="U18" s="9" t="s">
        <v>428</v>
      </c>
      <c r="V18" s="9" t="s">
        <v>67</v>
      </c>
      <c r="W18" s="4">
        <f t="shared" ref="W18" si="6">_xlfn.DAYS(Z18,X18)</f>
        <v>73</v>
      </c>
      <c r="X18" s="10">
        <v>45848</v>
      </c>
      <c r="Y18" s="10">
        <v>45898</v>
      </c>
      <c r="Z18" s="8">
        <v>45921</v>
      </c>
      <c r="AC18" s="4" t="s">
        <v>68</v>
      </c>
      <c r="AE18" s="4" t="s">
        <v>69</v>
      </c>
      <c r="AJ18" s="31" t="s">
        <v>70</v>
      </c>
      <c r="AK18" s="34">
        <v>45922</v>
      </c>
      <c r="AL18" s="31" t="s">
        <v>421</v>
      </c>
      <c r="AM18" s="79"/>
      <c r="AN18" s="13">
        <v>46202</v>
      </c>
      <c r="AP18" s="4"/>
      <c r="BG18" s="4">
        <v>822600010</v>
      </c>
      <c r="BH18" s="4">
        <v>100450</v>
      </c>
    </row>
    <row r="19" spans="1:61" ht="14.25" customHeight="1" x14ac:dyDescent="0.3">
      <c r="A19" s="3" t="s">
        <v>94</v>
      </c>
      <c r="C19" s="40">
        <v>862500462</v>
      </c>
      <c r="D19" s="3">
        <v>462400806</v>
      </c>
      <c r="E19" s="3">
        <v>45503000537</v>
      </c>
      <c r="F19" s="37" t="s">
        <v>82</v>
      </c>
      <c r="G19" s="4" t="s">
        <v>88</v>
      </c>
      <c r="H19" s="31">
        <v>50</v>
      </c>
      <c r="I19" s="7" t="s">
        <v>64</v>
      </c>
      <c r="J19" s="32">
        <v>32.700000000000003</v>
      </c>
      <c r="K19" s="32">
        <v>34.700000000000003</v>
      </c>
      <c r="L19" s="4" t="s">
        <v>141</v>
      </c>
      <c r="M19" s="31" t="s">
        <v>72</v>
      </c>
      <c r="N19" s="4" t="s">
        <v>69</v>
      </c>
      <c r="O19" s="4" t="s">
        <v>417</v>
      </c>
      <c r="P19" s="4" t="s">
        <v>65</v>
      </c>
      <c r="Q19" s="3" t="s">
        <v>81</v>
      </c>
      <c r="R19" s="4" t="s">
        <v>138</v>
      </c>
      <c r="T19" s="9" t="s">
        <v>71</v>
      </c>
      <c r="U19" s="9" t="s">
        <v>428</v>
      </c>
      <c r="V19" s="9" t="s">
        <v>67</v>
      </c>
      <c r="W19" s="4">
        <f t="shared" ref="W19:W21" si="7">_xlfn.DAYS(Z19,X19)</f>
        <v>73</v>
      </c>
      <c r="X19" s="10">
        <v>45848</v>
      </c>
      <c r="Y19" s="10">
        <v>45898</v>
      </c>
      <c r="Z19" s="8">
        <v>45921</v>
      </c>
      <c r="AC19" s="4" t="s">
        <v>122</v>
      </c>
      <c r="AE19" s="4" t="s">
        <v>69</v>
      </c>
      <c r="AJ19" s="31" t="s">
        <v>70</v>
      </c>
      <c r="AK19" s="34">
        <v>45922</v>
      </c>
      <c r="AL19" s="31" t="s">
        <v>421</v>
      </c>
      <c r="AM19" s="79"/>
      <c r="AN19" s="13"/>
      <c r="AO19" s="4"/>
      <c r="AP19" s="4"/>
      <c r="BG19" s="4" t="s">
        <v>142</v>
      </c>
      <c r="BH19" s="2" t="s">
        <v>143</v>
      </c>
    </row>
    <row r="20" spans="1:61" ht="14.25" customHeight="1" x14ac:dyDescent="0.3">
      <c r="A20" s="3" t="s">
        <v>94</v>
      </c>
      <c r="C20" s="40">
        <v>862500462</v>
      </c>
      <c r="D20" s="3">
        <v>462400806</v>
      </c>
      <c r="E20" s="3">
        <v>45503000566</v>
      </c>
      <c r="F20" s="37" t="s">
        <v>82</v>
      </c>
      <c r="G20" s="4" t="s">
        <v>137</v>
      </c>
      <c r="H20" s="31">
        <v>600</v>
      </c>
      <c r="I20" s="7" t="s">
        <v>64</v>
      </c>
      <c r="J20" s="32">
        <v>26.7</v>
      </c>
      <c r="K20" s="32">
        <v>28.7</v>
      </c>
      <c r="L20" s="4" t="s">
        <v>144</v>
      </c>
      <c r="M20" s="31" t="s">
        <v>72</v>
      </c>
      <c r="N20" s="4" t="s">
        <v>69</v>
      </c>
      <c r="O20" s="4" t="s">
        <v>417</v>
      </c>
      <c r="P20" s="4" t="s">
        <v>65</v>
      </c>
      <c r="Q20" s="3" t="s">
        <v>81</v>
      </c>
      <c r="R20" s="4" t="s">
        <v>138</v>
      </c>
      <c r="T20" s="9" t="s">
        <v>71</v>
      </c>
      <c r="U20" s="9" t="s">
        <v>428</v>
      </c>
      <c r="V20" s="9" t="s">
        <v>67</v>
      </c>
      <c r="W20" s="4">
        <f t="shared" si="7"/>
        <v>73</v>
      </c>
      <c r="X20" s="10">
        <v>45848</v>
      </c>
      <c r="Y20" s="10">
        <v>45898</v>
      </c>
      <c r="Z20" s="8">
        <v>45921</v>
      </c>
      <c r="AC20" s="4" t="s">
        <v>122</v>
      </c>
      <c r="AE20" s="4" t="s">
        <v>69</v>
      </c>
      <c r="AJ20" s="31" t="s">
        <v>70</v>
      </c>
      <c r="AK20" s="34">
        <v>45922</v>
      </c>
      <c r="AL20" s="31" t="s">
        <v>421</v>
      </c>
      <c r="AM20" s="79"/>
    </row>
    <row r="21" spans="1:61" ht="14.25" customHeight="1" x14ac:dyDescent="0.3">
      <c r="A21" s="3" t="s">
        <v>94</v>
      </c>
      <c r="C21" s="40">
        <v>862500462</v>
      </c>
      <c r="D21" s="3">
        <v>462400806</v>
      </c>
      <c r="E21" s="3">
        <v>45503000566</v>
      </c>
      <c r="F21" s="31" t="s">
        <v>82</v>
      </c>
      <c r="G21" s="31" t="s">
        <v>137</v>
      </c>
      <c r="H21" s="31">
        <v>600</v>
      </c>
      <c r="I21" s="7" t="s">
        <v>64</v>
      </c>
      <c r="J21" s="32">
        <v>24.8</v>
      </c>
      <c r="K21" s="32">
        <v>26.8</v>
      </c>
      <c r="L21" s="4" t="s">
        <v>145</v>
      </c>
      <c r="M21" s="31" t="s">
        <v>72</v>
      </c>
      <c r="N21" s="4" t="s">
        <v>69</v>
      </c>
      <c r="O21" s="4" t="s">
        <v>417</v>
      </c>
      <c r="P21" s="4" t="s">
        <v>65</v>
      </c>
      <c r="Q21" s="3" t="s">
        <v>81</v>
      </c>
      <c r="R21" s="4" t="s">
        <v>138</v>
      </c>
      <c r="T21" s="9" t="s">
        <v>71</v>
      </c>
      <c r="U21" s="9" t="s">
        <v>428</v>
      </c>
      <c r="V21" s="9" t="s">
        <v>67</v>
      </c>
      <c r="W21" s="4">
        <f t="shared" si="7"/>
        <v>73</v>
      </c>
      <c r="X21" s="10">
        <v>45848</v>
      </c>
      <c r="Y21" s="10">
        <v>45898</v>
      </c>
      <c r="Z21" s="8">
        <v>45921</v>
      </c>
      <c r="AC21" s="4" t="s">
        <v>122</v>
      </c>
      <c r="AE21" s="4" t="s">
        <v>69</v>
      </c>
      <c r="AJ21" s="31" t="s">
        <v>70</v>
      </c>
      <c r="AK21" s="34">
        <v>45922</v>
      </c>
      <c r="AL21" s="31" t="s">
        <v>421</v>
      </c>
      <c r="AM21" s="79"/>
    </row>
    <row r="22" spans="1:61" ht="14.25" customHeight="1" x14ac:dyDescent="0.3">
      <c r="A22" s="31" t="s">
        <v>412</v>
      </c>
      <c r="B22" s="88" t="s">
        <v>132</v>
      </c>
      <c r="C22" s="40">
        <v>862501978</v>
      </c>
      <c r="D22" s="69">
        <v>442500328</v>
      </c>
      <c r="E22" s="46">
        <v>45407002483</v>
      </c>
      <c r="F22" s="69" t="s">
        <v>79</v>
      </c>
      <c r="G22" s="69" t="s">
        <v>146</v>
      </c>
      <c r="H22" s="69">
        <v>1</v>
      </c>
      <c r="I22" s="46" t="s">
        <v>64</v>
      </c>
      <c r="J22" s="72">
        <v>4142</v>
      </c>
      <c r="K22" s="72">
        <v>4242</v>
      </c>
      <c r="L22" s="69" t="s">
        <v>147</v>
      </c>
      <c r="M22" s="69">
        <v>2602013</v>
      </c>
      <c r="N22" s="4" t="s">
        <v>69</v>
      </c>
      <c r="O22" s="4" t="s">
        <v>416</v>
      </c>
      <c r="P22" s="46" t="s">
        <v>65</v>
      </c>
      <c r="Q22" s="69" t="s">
        <v>78</v>
      </c>
      <c r="R22" s="46" t="s">
        <v>148</v>
      </c>
      <c r="S22" s="46"/>
      <c r="T22" s="46" t="s">
        <v>99</v>
      </c>
      <c r="U22" s="9" t="s">
        <v>427</v>
      </c>
      <c r="V22" s="69" t="s">
        <v>67</v>
      </c>
      <c r="W22" s="46"/>
      <c r="X22" s="85">
        <v>46118</v>
      </c>
      <c r="Y22" s="10">
        <v>46161</v>
      </c>
      <c r="Z22" s="8">
        <v>46161</v>
      </c>
      <c r="AA22" s="31"/>
      <c r="AC22" s="31" t="s">
        <v>68</v>
      </c>
      <c r="AE22" s="4" t="s">
        <v>69</v>
      </c>
      <c r="AI22" s="13">
        <v>46163</v>
      </c>
      <c r="AJ22" s="31" t="s">
        <v>70</v>
      </c>
      <c r="AK22" s="33">
        <v>46163</v>
      </c>
      <c r="AL22" s="7" t="s">
        <v>420</v>
      </c>
      <c r="AN22" s="33">
        <v>46217</v>
      </c>
      <c r="BG22" s="31">
        <v>812600051</v>
      </c>
      <c r="BH22" s="31">
        <v>100426</v>
      </c>
    </row>
    <row r="23" spans="1:61" ht="14.25" customHeight="1" x14ac:dyDescent="0.3">
      <c r="A23" s="3" t="s">
        <v>94</v>
      </c>
      <c r="C23" s="40">
        <v>862500462</v>
      </c>
      <c r="D23" s="3">
        <v>462400806</v>
      </c>
      <c r="E23" s="3">
        <v>45503000566</v>
      </c>
      <c r="F23" s="31" t="s">
        <v>82</v>
      </c>
      <c r="G23" s="31" t="s">
        <v>137</v>
      </c>
      <c r="H23" s="31">
        <v>600</v>
      </c>
      <c r="I23" s="7" t="s">
        <v>64</v>
      </c>
      <c r="J23" s="32">
        <v>26.6</v>
      </c>
      <c r="K23" s="32">
        <v>28.6</v>
      </c>
      <c r="L23" s="4" t="s">
        <v>154</v>
      </c>
      <c r="M23" s="31" t="s">
        <v>72</v>
      </c>
      <c r="N23" s="4" t="s">
        <v>69</v>
      </c>
      <c r="O23" s="4" t="s">
        <v>417</v>
      </c>
      <c r="P23" s="4" t="s">
        <v>65</v>
      </c>
      <c r="Q23" s="3" t="s">
        <v>81</v>
      </c>
      <c r="R23" s="4" t="s">
        <v>138</v>
      </c>
      <c r="T23" s="9" t="s">
        <v>71</v>
      </c>
      <c r="U23" s="9" t="s">
        <v>428</v>
      </c>
      <c r="V23" s="9" t="s">
        <v>67</v>
      </c>
      <c r="W23" s="4">
        <f t="shared" ref="W23:W24" si="8">_xlfn.DAYS(Z23,X23)</f>
        <v>73</v>
      </c>
      <c r="X23" s="10">
        <v>45848</v>
      </c>
      <c r="Y23" s="10">
        <v>45898</v>
      </c>
      <c r="Z23" s="8">
        <v>45921</v>
      </c>
      <c r="AC23" s="4" t="s">
        <v>122</v>
      </c>
      <c r="AE23" s="4" t="s">
        <v>69</v>
      </c>
      <c r="AJ23" s="31" t="s">
        <v>70</v>
      </c>
      <c r="AK23" s="34">
        <v>45922</v>
      </c>
      <c r="AL23" s="31" t="s">
        <v>421</v>
      </c>
      <c r="AM23" s="79"/>
    </row>
    <row r="24" spans="1:61" ht="14.25" customHeight="1" x14ac:dyDescent="0.3">
      <c r="A24" s="3" t="s">
        <v>94</v>
      </c>
      <c r="C24" s="40">
        <v>862500462</v>
      </c>
      <c r="D24" s="3">
        <v>462400806</v>
      </c>
      <c r="E24" s="3">
        <v>45503000566</v>
      </c>
      <c r="F24" s="31" t="s">
        <v>82</v>
      </c>
      <c r="G24" s="31" t="s">
        <v>137</v>
      </c>
      <c r="H24" s="31">
        <v>600</v>
      </c>
      <c r="I24" s="7" t="s">
        <v>64</v>
      </c>
      <c r="J24" s="32">
        <v>26.4</v>
      </c>
      <c r="K24" s="32">
        <v>28.4</v>
      </c>
      <c r="L24" s="4" t="s">
        <v>155</v>
      </c>
      <c r="M24" s="31" t="s">
        <v>72</v>
      </c>
      <c r="N24" s="4" t="s">
        <v>69</v>
      </c>
      <c r="O24" s="4" t="s">
        <v>417</v>
      </c>
      <c r="P24" s="4" t="s">
        <v>65</v>
      </c>
      <c r="Q24" s="3" t="s">
        <v>81</v>
      </c>
      <c r="R24" s="4" t="s">
        <v>138</v>
      </c>
      <c r="T24" s="9" t="s">
        <v>71</v>
      </c>
      <c r="U24" s="9" t="s">
        <v>428</v>
      </c>
      <c r="V24" s="9" t="s">
        <v>67</v>
      </c>
      <c r="W24" s="4">
        <f t="shared" si="8"/>
        <v>73</v>
      </c>
      <c r="X24" s="10">
        <v>45848</v>
      </c>
      <c r="Y24" s="10">
        <v>45898</v>
      </c>
      <c r="Z24" s="8">
        <v>45921</v>
      </c>
      <c r="AC24" s="4" t="s">
        <v>122</v>
      </c>
      <c r="AE24" s="4" t="s">
        <v>69</v>
      </c>
      <c r="AJ24" s="31" t="s">
        <v>70</v>
      </c>
      <c r="AK24" s="34">
        <v>45922</v>
      </c>
      <c r="AL24" s="31" t="s">
        <v>421</v>
      </c>
      <c r="AM24" s="79"/>
    </row>
    <row r="25" spans="1:61" ht="14.25" customHeight="1" x14ac:dyDescent="0.3">
      <c r="A25" s="3" t="s">
        <v>94</v>
      </c>
      <c r="C25" s="40">
        <v>862500462</v>
      </c>
      <c r="D25" s="3">
        <v>462400806</v>
      </c>
      <c r="E25" s="3">
        <v>45503000566</v>
      </c>
      <c r="F25" s="31" t="s">
        <v>82</v>
      </c>
      <c r="G25" s="31" t="s">
        <v>137</v>
      </c>
      <c r="H25" s="31">
        <v>450</v>
      </c>
      <c r="I25" s="7" t="s">
        <v>64</v>
      </c>
      <c r="J25" s="32">
        <v>26.4</v>
      </c>
      <c r="K25" s="32">
        <v>28.4</v>
      </c>
      <c r="L25" s="4" t="s">
        <v>157</v>
      </c>
      <c r="M25" s="31" t="s">
        <v>72</v>
      </c>
      <c r="N25" s="4" t="s">
        <v>69</v>
      </c>
      <c r="O25" s="4" t="s">
        <v>417</v>
      </c>
      <c r="P25" s="4" t="s">
        <v>65</v>
      </c>
      <c r="Q25" s="3" t="s">
        <v>81</v>
      </c>
      <c r="R25" s="4" t="s">
        <v>138</v>
      </c>
      <c r="T25" s="9" t="s">
        <v>71</v>
      </c>
      <c r="U25" s="9" t="s">
        <v>428</v>
      </c>
      <c r="V25" s="9" t="s">
        <v>67</v>
      </c>
      <c r="W25" s="4">
        <f t="shared" ref="W25:W29" si="9">_xlfn.DAYS(Z25,X25)</f>
        <v>73</v>
      </c>
      <c r="X25" s="10">
        <v>45848</v>
      </c>
      <c r="Y25" s="10">
        <v>45898</v>
      </c>
      <c r="Z25" s="8">
        <v>45921</v>
      </c>
      <c r="AC25" s="4" t="s">
        <v>122</v>
      </c>
      <c r="AE25" s="4" t="s">
        <v>69</v>
      </c>
      <c r="AJ25" s="31" t="s">
        <v>70</v>
      </c>
      <c r="AK25" s="34">
        <v>45922</v>
      </c>
      <c r="AL25" s="31" t="s">
        <v>421</v>
      </c>
      <c r="AM25" s="79"/>
      <c r="AN25" s="33"/>
    </row>
    <row r="26" spans="1:61" ht="14.25" customHeight="1" x14ac:dyDescent="0.3">
      <c r="A26" s="3" t="s">
        <v>94</v>
      </c>
      <c r="C26" s="40">
        <v>862500462</v>
      </c>
      <c r="D26" s="3">
        <v>462400806</v>
      </c>
      <c r="E26" s="3">
        <v>45503000566</v>
      </c>
      <c r="F26" s="31" t="s">
        <v>82</v>
      </c>
      <c r="G26" s="31" t="s">
        <v>137</v>
      </c>
      <c r="H26" s="31">
        <v>600</v>
      </c>
      <c r="I26" s="7" t="s">
        <v>64</v>
      </c>
      <c r="J26" s="32">
        <v>26.4</v>
      </c>
      <c r="K26" s="32">
        <v>28.4</v>
      </c>
      <c r="L26" s="4" t="s">
        <v>158</v>
      </c>
      <c r="M26" s="31" t="s">
        <v>72</v>
      </c>
      <c r="N26" s="4" t="s">
        <v>69</v>
      </c>
      <c r="O26" s="4" t="s">
        <v>417</v>
      </c>
      <c r="P26" s="4" t="s">
        <v>65</v>
      </c>
      <c r="Q26" s="3" t="s">
        <v>81</v>
      </c>
      <c r="R26" s="4" t="s">
        <v>138</v>
      </c>
      <c r="T26" s="9" t="s">
        <v>71</v>
      </c>
      <c r="U26" s="9" t="s">
        <v>428</v>
      </c>
      <c r="V26" s="9" t="s">
        <v>67</v>
      </c>
      <c r="W26" s="4">
        <f t="shared" si="9"/>
        <v>73</v>
      </c>
      <c r="X26" s="10">
        <v>45848</v>
      </c>
      <c r="Y26" s="10">
        <v>45898</v>
      </c>
      <c r="Z26" s="8">
        <v>45921</v>
      </c>
      <c r="AC26" s="4" t="s">
        <v>122</v>
      </c>
      <c r="AE26" s="4" t="s">
        <v>69</v>
      </c>
      <c r="AJ26" s="31" t="s">
        <v>70</v>
      </c>
      <c r="AK26" s="34">
        <v>45922</v>
      </c>
      <c r="AL26" s="31" t="s">
        <v>421</v>
      </c>
      <c r="AM26" s="79"/>
    </row>
    <row r="27" spans="1:61" ht="14.25" customHeight="1" x14ac:dyDescent="0.3">
      <c r="A27" s="3" t="s">
        <v>94</v>
      </c>
      <c r="C27" s="40">
        <v>862500462</v>
      </c>
      <c r="D27" s="3">
        <v>462400806</v>
      </c>
      <c r="E27" s="3">
        <v>45503000565</v>
      </c>
      <c r="F27" s="31" t="s">
        <v>82</v>
      </c>
      <c r="G27" s="31" t="s">
        <v>139</v>
      </c>
      <c r="H27" s="31">
        <v>750</v>
      </c>
      <c r="I27" s="7" t="s">
        <v>64</v>
      </c>
      <c r="J27" s="32">
        <v>31.4</v>
      </c>
      <c r="K27" s="32">
        <v>33.4</v>
      </c>
      <c r="L27" s="4" t="s">
        <v>159</v>
      </c>
      <c r="M27" s="31" t="s">
        <v>72</v>
      </c>
      <c r="N27" s="4" t="s">
        <v>69</v>
      </c>
      <c r="O27" s="4" t="s">
        <v>417</v>
      </c>
      <c r="P27" s="4" t="s">
        <v>65</v>
      </c>
      <c r="Q27" s="3" t="s">
        <v>81</v>
      </c>
      <c r="R27" s="4" t="s">
        <v>138</v>
      </c>
      <c r="T27" s="9" t="s">
        <v>71</v>
      </c>
      <c r="U27" s="9" t="s">
        <v>428</v>
      </c>
      <c r="V27" s="9" t="s">
        <v>67</v>
      </c>
      <c r="W27" s="4">
        <f t="shared" si="9"/>
        <v>73</v>
      </c>
      <c r="X27" s="10">
        <v>45848</v>
      </c>
      <c r="Y27" s="10">
        <v>45898</v>
      </c>
      <c r="Z27" s="8">
        <v>45921</v>
      </c>
      <c r="AC27" s="4" t="s">
        <v>122</v>
      </c>
      <c r="AE27" s="4" t="s">
        <v>69</v>
      </c>
      <c r="AJ27" s="31" t="s">
        <v>70</v>
      </c>
      <c r="AK27" s="34">
        <v>45922</v>
      </c>
      <c r="AL27" s="31" t="s">
        <v>421</v>
      </c>
      <c r="AM27" s="79"/>
    </row>
    <row r="28" spans="1:61" ht="14.25" customHeight="1" x14ac:dyDescent="0.3">
      <c r="A28" s="3" t="s">
        <v>94</v>
      </c>
      <c r="C28" s="40">
        <v>862500462</v>
      </c>
      <c r="D28" s="3">
        <v>462400806</v>
      </c>
      <c r="E28" s="3">
        <v>45503000565</v>
      </c>
      <c r="F28" s="31" t="s">
        <v>82</v>
      </c>
      <c r="G28" s="31" t="s">
        <v>139</v>
      </c>
      <c r="H28" s="31">
        <v>650</v>
      </c>
      <c r="I28" s="7" t="s">
        <v>64</v>
      </c>
      <c r="J28" s="32">
        <v>31.3</v>
      </c>
      <c r="K28" s="32">
        <v>33.299999999999997</v>
      </c>
      <c r="L28" s="4" t="s">
        <v>160</v>
      </c>
      <c r="M28" s="31" t="s">
        <v>72</v>
      </c>
      <c r="N28" s="4" t="s">
        <v>69</v>
      </c>
      <c r="O28" s="4" t="s">
        <v>417</v>
      </c>
      <c r="P28" s="4" t="s">
        <v>65</v>
      </c>
      <c r="Q28" s="3" t="s">
        <v>81</v>
      </c>
      <c r="R28" s="4" t="s">
        <v>138</v>
      </c>
      <c r="T28" s="9" t="s">
        <v>71</v>
      </c>
      <c r="U28" s="9" t="s">
        <v>428</v>
      </c>
      <c r="V28" s="9" t="s">
        <v>67</v>
      </c>
      <c r="W28" s="4">
        <f t="shared" si="9"/>
        <v>73</v>
      </c>
      <c r="X28" s="10">
        <v>45848</v>
      </c>
      <c r="Y28" s="10">
        <v>45898</v>
      </c>
      <c r="Z28" s="8">
        <v>45921</v>
      </c>
      <c r="AC28" s="4" t="s">
        <v>122</v>
      </c>
      <c r="AE28" s="4" t="s">
        <v>69</v>
      </c>
      <c r="AJ28" s="31" t="s">
        <v>70</v>
      </c>
      <c r="AK28" s="34">
        <v>45922</v>
      </c>
      <c r="AL28" s="31" t="s">
        <v>421</v>
      </c>
      <c r="AM28" s="79"/>
      <c r="AN28" s="33"/>
      <c r="BG28" s="4">
        <v>822600008</v>
      </c>
      <c r="BH28" s="2">
        <v>100439</v>
      </c>
    </row>
    <row r="29" spans="1:61" ht="14.25" customHeight="1" x14ac:dyDescent="0.3">
      <c r="A29" s="3" t="s">
        <v>94</v>
      </c>
      <c r="C29" s="40">
        <v>862500462</v>
      </c>
      <c r="D29" s="3">
        <v>462400806</v>
      </c>
      <c r="E29" s="3">
        <v>45503000565</v>
      </c>
      <c r="F29" s="31" t="s">
        <v>82</v>
      </c>
      <c r="G29" s="31" t="s">
        <v>139</v>
      </c>
      <c r="H29" s="31">
        <v>750</v>
      </c>
      <c r="I29" s="7" t="s">
        <v>64</v>
      </c>
      <c r="J29" s="32">
        <v>31.4</v>
      </c>
      <c r="K29" s="32">
        <v>33.4</v>
      </c>
      <c r="L29" s="4" t="s">
        <v>161</v>
      </c>
      <c r="M29" s="31" t="s">
        <v>72</v>
      </c>
      <c r="N29" s="4" t="s">
        <v>69</v>
      </c>
      <c r="O29" s="4" t="s">
        <v>417</v>
      </c>
      <c r="P29" s="4" t="s">
        <v>65</v>
      </c>
      <c r="Q29" s="3" t="s">
        <v>81</v>
      </c>
      <c r="R29" s="4" t="s">
        <v>138</v>
      </c>
      <c r="T29" s="9" t="s">
        <v>71</v>
      </c>
      <c r="U29" s="9" t="s">
        <v>428</v>
      </c>
      <c r="V29" s="9" t="s">
        <v>67</v>
      </c>
      <c r="W29" s="4">
        <f t="shared" si="9"/>
        <v>73</v>
      </c>
      <c r="X29" s="10">
        <v>45848</v>
      </c>
      <c r="Y29" s="10">
        <v>45898</v>
      </c>
      <c r="Z29" s="8">
        <v>45921</v>
      </c>
      <c r="AC29" s="4" t="s">
        <v>122</v>
      </c>
      <c r="AE29" s="4" t="s">
        <v>69</v>
      </c>
      <c r="AJ29" s="31" t="s">
        <v>70</v>
      </c>
      <c r="AK29" s="34">
        <v>45922</v>
      </c>
      <c r="AL29" s="31" t="s">
        <v>421</v>
      </c>
      <c r="AM29" s="79"/>
    </row>
    <row r="30" spans="1:61" ht="14.25" customHeight="1" x14ac:dyDescent="0.3">
      <c r="A30" s="3" t="s">
        <v>94</v>
      </c>
      <c r="C30" s="40">
        <v>862500462</v>
      </c>
      <c r="D30" s="3">
        <v>462400806</v>
      </c>
      <c r="E30" s="3">
        <v>45503000565</v>
      </c>
      <c r="F30" s="31" t="s">
        <v>82</v>
      </c>
      <c r="G30" s="31" t="s">
        <v>139</v>
      </c>
      <c r="H30" s="31">
        <v>750</v>
      </c>
      <c r="I30" s="7" t="s">
        <v>64</v>
      </c>
      <c r="J30" s="32">
        <v>31.8</v>
      </c>
      <c r="K30" s="32">
        <v>33.799999999999997</v>
      </c>
      <c r="L30" s="4" t="s">
        <v>162</v>
      </c>
      <c r="M30" s="31" t="s">
        <v>72</v>
      </c>
      <c r="N30" s="4" t="s">
        <v>69</v>
      </c>
      <c r="O30" s="4" t="s">
        <v>417</v>
      </c>
      <c r="P30" s="4" t="s">
        <v>65</v>
      </c>
      <c r="Q30" s="3" t="s">
        <v>81</v>
      </c>
      <c r="R30" s="4" t="s">
        <v>138</v>
      </c>
      <c r="T30" s="9" t="s">
        <v>71</v>
      </c>
      <c r="U30" s="9" t="s">
        <v>428</v>
      </c>
      <c r="V30" s="9" t="s">
        <v>67</v>
      </c>
      <c r="W30" s="4">
        <f t="shared" ref="W30" si="10">_xlfn.DAYS(Z30,X30)</f>
        <v>73</v>
      </c>
      <c r="X30" s="10">
        <v>45848</v>
      </c>
      <c r="Y30" s="10">
        <v>45898</v>
      </c>
      <c r="Z30" s="8">
        <v>45921</v>
      </c>
      <c r="AC30" s="4" t="s">
        <v>122</v>
      </c>
      <c r="AE30" s="4" t="s">
        <v>69</v>
      </c>
      <c r="AJ30" s="31" t="s">
        <v>70</v>
      </c>
      <c r="AK30" s="34">
        <v>45922</v>
      </c>
      <c r="AL30" s="31" t="s">
        <v>421</v>
      </c>
      <c r="AM30" s="79"/>
      <c r="AT30" s="84"/>
    </row>
    <row r="31" spans="1:61" ht="14.25" customHeight="1" x14ac:dyDescent="0.3">
      <c r="A31" s="31" t="s">
        <v>413</v>
      </c>
      <c r="B31" s="16" t="s">
        <v>164</v>
      </c>
      <c r="C31" s="40">
        <v>862501285</v>
      </c>
      <c r="D31" s="31">
        <v>442500247</v>
      </c>
      <c r="E31" s="4">
        <v>45407002382</v>
      </c>
      <c r="F31" s="31" t="s">
        <v>89</v>
      </c>
      <c r="G31" s="31" t="s">
        <v>165</v>
      </c>
      <c r="H31" s="4">
        <v>1</v>
      </c>
      <c r="I31" s="7" t="s">
        <v>64</v>
      </c>
      <c r="J31" s="32">
        <v>3463</v>
      </c>
      <c r="K31" s="32">
        <v>3563</v>
      </c>
      <c r="L31" s="31" t="s">
        <v>166</v>
      </c>
      <c r="M31" s="66">
        <v>2511007</v>
      </c>
      <c r="N31" s="4" t="s">
        <v>69</v>
      </c>
      <c r="O31" s="4" t="s">
        <v>418</v>
      </c>
      <c r="P31" s="4" t="s">
        <v>65</v>
      </c>
      <c r="Q31" s="31" t="s">
        <v>66</v>
      </c>
      <c r="R31" s="4" t="s">
        <v>167</v>
      </c>
      <c r="T31" s="4" t="s">
        <v>99</v>
      </c>
      <c r="U31" s="9" t="s">
        <v>427</v>
      </c>
      <c r="V31" s="31" t="s">
        <v>67</v>
      </c>
      <c r="W31" s="4">
        <f t="shared" ref="W31:W34" si="11">_xlfn.DAYS(Z31,X31)</f>
        <v>48</v>
      </c>
      <c r="X31" s="10">
        <v>45995</v>
      </c>
      <c r="Y31" s="10">
        <v>46038</v>
      </c>
      <c r="Z31" s="8">
        <v>46043</v>
      </c>
      <c r="AC31" s="31" t="s">
        <v>68</v>
      </c>
      <c r="AE31" s="4" t="s">
        <v>69</v>
      </c>
      <c r="AJ31" s="31" t="s">
        <v>70</v>
      </c>
      <c r="AK31" s="33">
        <v>46044</v>
      </c>
      <c r="AL31" s="4" t="s">
        <v>419</v>
      </c>
      <c r="AM31" s="72"/>
      <c r="AN31" s="33">
        <v>46177</v>
      </c>
      <c r="AP31" s="25"/>
      <c r="BG31" s="31">
        <v>812500096</v>
      </c>
      <c r="BH31" s="31">
        <v>100310</v>
      </c>
      <c r="BI31" s="31" t="s">
        <v>168</v>
      </c>
    </row>
    <row r="32" spans="1:61" ht="14.25" customHeight="1" x14ac:dyDescent="0.3">
      <c r="A32" s="31" t="s">
        <v>411</v>
      </c>
      <c r="B32" s="88" t="s">
        <v>169</v>
      </c>
      <c r="C32" s="40">
        <v>862501640</v>
      </c>
      <c r="D32" s="69">
        <v>442500326</v>
      </c>
      <c r="E32" s="46">
        <v>45407002445</v>
      </c>
      <c r="F32" s="69" t="s">
        <v>89</v>
      </c>
      <c r="G32" s="69" t="s">
        <v>170</v>
      </c>
      <c r="H32" s="69">
        <v>1</v>
      </c>
      <c r="I32" s="46" t="s">
        <v>64</v>
      </c>
      <c r="J32" s="72">
        <v>4182</v>
      </c>
      <c r="K32" s="72">
        <v>4282</v>
      </c>
      <c r="L32" s="69" t="s">
        <v>171</v>
      </c>
      <c r="M32" s="69">
        <v>2601045</v>
      </c>
      <c r="N32" s="4" t="s">
        <v>69</v>
      </c>
      <c r="O32" s="4" t="s">
        <v>418</v>
      </c>
      <c r="P32" s="46" t="s">
        <v>65</v>
      </c>
      <c r="Q32" s="69" t="s">
        <v>78</v>
      </c>
      <c r="R32" s="92" t="s">
        <v>172</v>
      </c>
      <c r="S32" s="46"/>
      <c r="T32" s="46" t="s">
        <v>99</v>
      </c>
      <c r="U32" s="9" t="s">
        <v>427</v>
      </c>
      <c r="V32" s="69" t="s">
        <v>67</v>
      </c>
      <c r="W32" s="46">
        <f t="shared" si="11"/>
        <v>62</v>
      </c>
      <c r="X32" s="85">
        <v>46058</v>
      </c>
      <c r="Y32" s="10">
        <v>46113</v>
      </c>
      <c r="Z32" s="36">
        <v>46120</v>
      </c>
      <c r="AC32" s="31" t="s">
        <v>68</v>
      </c>
      <c r="AD32" s="13" t="s">
        <v>115</v>
      </c>
      <c r="AE32" s="4" t="s">
        <v>69</v>
      </c>
      <c r="AJ32" s="31" t="s">
        <v>70</v>
      </c>
      <c r="AK32" s="33">
        <v>46121</v>
      </c>
      <c r="AL32" s="7" t="s">
        <v>420</v>
      </c>
      <c r="AN32" s="33">
        <v>46219</v>
      </c>
      <c r="BG32" s="31">
        <v>812600020</v>
      </c>
      <c r="BH32" s="31">
        <v>100437</v>
      </c>
      <c r="BI32" s="31" t="s">
        <v>173</v>
      </c>
    </row>
    <row r="33" spans="1:61" ht="14.25" customHeight="1" x14ac:dyDescent="0.3">
      <c r="A33" s="31" t="s">
        <v>411</v>
      </c>
      <c r="B33" s="88" t="s">
        <v>169</v>
      </c>
      <c r="C33" s="40">
        <v>862501718</v>
      </c>
      <c r="D33" s="69">
        <v>442500326</v>
      </c>
      <c r="E33" s="46">
        <v>45407002445</v>
      </c>
      <c r="F33" s="69" t="s">
        <v>89</v>
      </c>
      <c r="G33" s="69" t="s">
        <v>170</v>
      </c>
      <c r="H33" s="69">
        <v>1</v>
      </c>
      <c r="I33" s="46" t="s">
        <v>64</v>
      </c>
      <c r="J33" s="72">
        <v>4182</v>
      </c>
      <c r="K33" s="72">
        <v>4282</v>
      </c>
      <c r="L33" s="69" t="s">
        <v>174</v>
      </c>
      <c r="M33" s="69">
        <v>2601049</v>
      </c>
      <c r="N33" s="4" t="s">
        <v>69</v>
      </c>
      <c r="O33" s="4" t="s">
        <v>418</v>
      </c>
      <c r="P33" s="46" t="s">
        <v>65</v>
      </c>
      <c r="Q33" s="69" t="s">
        <v>78</v>
      </c>
      <c r="R33" s="46" t="s">
        <v>175</v>
      </c>
      <c r="S33" s="46">
        <v>1</v>
      </c>
      <c r="T33" s="46" t="s">
        <v>99</v>
      </c>
      <c r="U33" s="9" t="s">
        <v>427</v>
      </c>
      <c r="V33" s="69" t="s">
        <v>67</v>
      </c>
      <c r="W33" s="46">
        <f t="shared" si="11"/>
        <v>47</v>
      </c>
      <c r="X33" s="85">
        <v>46073</v>
      </c>
      <c r="Y33" s="10">
        <v>46121</v>
      </c>
      <c r="Z33" s="36">
        <v>46120</v>
      </c>
      <c r="AC33" s="31" t="s">
        <v>68</v>
      </c>
      <c r="AD33" s="13" t="s">
        <v>115</v>
      </c>
      <c r="AE33" s="4" t="s">
        <v>69</v>
      </c>
      <c r="AJ33" s="31" t="s">
        <v>70</v>
      </c>
      <c r="AK33" s="33">
        <v>46121</v>
      </c>
      <c r="AL33" s="7" t="s">
        <v>420</v>
      </c>
      <c r="AN33" s="33">
        <v>46219</v>
      </c>
      <c r="BG33" s="31">
        <v>812600021</v>
      </c>
      <c r="BH33" s="31">
        <v>100437</v>
      </c>
      <c r="BI33" s="31" t="s">
        <v>173</v>
      </c>
    </row>
    <row r="34" spans="1:61" ht="14.25" customHeight="1" x14ac:dyDescent="0.3">
      <c r="A34" s="3" t="s">
        <v>94</v>
      </c>
      <c r="C34" s="40">
        <v>862500462</v>
      </c>
      <c r="D34" s="3">
        <v>462400806</v>
      </c>
      <c r="E34" s="3">
        <v>45503000565</v>
      </c>
      <c r="F34" s="31" t="s">
        <v>82</v>
      </c>
      <c r="G34" s="31" t="s">
        <v>139</v>
      </c>
      <c r="H34" s="31">
        <v>750</v>
      </c>
      <c r="I34" s="7" t="s">
        <v>64</v>
      </c>
      <c r="J34" s="32">
        <v>32</v>
      </c>
      <c r="K34" s="32">
        <v>34</v>
      </c>
      <c r="L34" s="4" t="s">
        <v>176</v>
      </c>
      <c r="M34" s="31" t="s">
        <v>72</v>
      </c>
      <c r="N34" s="4" t="s">
        <v>69</v>
      </c>
      <c r="O34" s="4" t="s">
        <v>417</v>
      </c>
      <c r="P34" s="4" t="s">
        <v>65</v>
      </c>
      <c r="Q34" s="3" t="s">
        <v>81</v>
      </c>
      <c r="R34" s="4" t="s">
        <v>138</v>
      </c>
      <c r="T34" s="9" t="s">
        <v>71</v>
      </c>
      <c r="U34" s="9" t="s">
        <v>428</v>
      </c>
      <c r="V34" s="9" t="s">
        <v>67</v>
      </c>
      <c r="W34" s="4">
        <f t="shared" si="11"/>
        <v>73</v>
      </c>
      <c r="X34" s="10">
        <v>45848</v>
      </c>
      <c r="Y34" s="10">
        <v>45898</v>
      </c>
      <c r="Z34" s="8">
        <v>45921</v>
      </c>
      <c r="AC34" s="4" t="s">
        <v>122</v>
      </c>
      <c r="AE34" s="4" t="s">
        <v>69</v>
      </c>
      <c r="AJ34" s="31" t="s">
        <v>70</v>
      </c>
      <c r="AK34" s="34">
        <v>45922</v>
      </c>
      <c r="AL34" s="31" t="s">
        <v>421</v>
      </c>
      <c r="AM34" s="79"/>
    </row>
    <row r="35" spans="1:61" ht="14.25" customHeight="1" x14ac:dyDescent="0.3">
      <c r="A35" s="31" t="s">
        <v>413</v>
      </c>
      <c r="B35" s="83" t="s">
        <v>164</v>
      </c>
      <c r="C35" s="63">
        <v>862501309</v>
      </c>
      <c r="D35" s="31">
        <v>442500247</v>
      </c>
      <c r="E35" s="31">
        <v>45407002382</v>
      </c>
      <c r="F35" s="31" t="s">
        <v>89</v>
      </c>
      <c r="G35" s="25" t="s">
        <v>165</v>
      </c>
      <c r="H35" s="31">
        <v>1</v>
      </c>
      <c r="I35" s="65" t="s">
        <v>64</v>
      </c>
      <c r="J35" s="32">
        <v>3463</v>
      </c>
      <c r="K35" s="32">
        <v>3563</v>
      </c>
      <c r="L35" s="31" t="s">
        <v>177</v>
      </c>
      <c r="M35" s="31">
        <v>2511008</v>
      </c>
      <c r="N35" s="4" t="s">
        <v>69</v>
      </c>
      <c r="O35" s="4" t="s">
        <v>418</v>
      </c>
      <c r="P35" s="31" t="s">
        <v>65</v>
      </c>
      <c r="Q35" s="31" t="s">
        <v>66</v>
      </c>
      <c r="R35" s="31" t="s">
        <v>178</v>
      </c>
      <c r="T35" s="4" t="s">
        <v>99</v>
      </c>
      <c r="U35" s="9" t="s">
        <v>427</v>
      </c>
      <c r="V35" s="31" t="s">
        <v>67</v>
      </c>
      <c r="W35" s="31">
        <f t="shared" ref="W35:W50" si="12">_xlfn.DAYS(Z35,X35)</f>
        <v>50</v>
      </c>
      <c r="X35" s="10">
        <v>46003</v>
      </c>
      <c r="Y35" s="10">
        <v>46054</v>
      </c>
      <c r="Z35" s="8">
        <v>46053</v>
      </c>
      <c r="AC35" s="31" t="s">
        <v>152</v>
      </c>
      <c r="AE35" s="4" t="s">
        <v>69</v>
      </c>
      <c r="AJ35" s="31" t="s">
        <v>70</v>
      </c>
      <c r="AK35" s="33">
        <v>46055</v>
      </c>
      <c r="AL35" s="4" t="s">
        <v>419</v>
      </c>
      <c r="AM35" s="72"/>
      <c r="AP35" s="25"/>
      <c r="BG35" s="31">
        <v>812500098</v>
      </c>
      <c r="BH35" s="31">
        <v>100310</v>
      </c>
      <c r="BI35" s="31" t="s">
        <v>179</v>
      </c>
    </row>
    <row r="36" spans="1:61" ht="14.25" customHeight="1" x14ac:dyDescent="0.3">
      <c r="A36" s="31" t="s">
        <v>413</v>
      </c>
      <c r="B36" s="83" t="s">
        <v>164</v>
      </c>
      <c r="C36" s="40">
        <v>862501310</v>
      </c>
      <c r="D36" s="31">
        <v>462500627</v>
      </c>
      <c r="E36" s="4">
        <v>45407002402</v>
      </c>
      <c r="F36" s="31" t="s">
        <v>104</v>
      </c>
      <c r="G36" s="25" t="s">
        <v>180</v>
      </c>
      <c r="H36" s="4">
        <v>9</v>
      </c>
      <c r="I36" s="7" t="s">
        <v>64</v>
      </c>
      <c r="J36" s="32">
        <v>72</v>
      </c>
      <c r="K36" s="32">
        <v>75</v>
      </c>
      <c r="L36" s="31" t="s">
        <v>181</v>
      </c>
      <c r="M36" s="31" t="s">
        <v>72</v>
      </c>
      <c r="N36" s="4" t="s">
        <v>69</v>
      </c>
      <c r="O36" s="4" t="s">
        <v>418</v>
      </c>
      <c r="P36" s="4" t="s">
        <v>65</v>
      </c>
      <c r="Q36" s="31" t="s">
        <v>66</v>
      </c>
      <c r="R36" s="4" t="s">
        <v>178</v>
      </c>
      <c r="T36" s="4" t="s">
        <v>99</v>
      </c>
      <c r="U36" s="9" t="s">
        <v>427</v>
      </c>
      <c r="V36" s="31" t="s">
        <v>67</v>
      </c>
      <c r="W36" s="4">
        <f t="shared" si="12"/>
        <v>50</v>
      </c>
      <c r="X36" s="10">
        <v>46003</v>
      </c>
      <c r="Y36" s="10">
        <v>46054</v>
      </c>
      <c r="Z36" s="8">
        <v>46053</v>
      </c>
      <c r="AC36" s="31" t="s">
        <v>152</v>
      </c>
      <c r="AE36" s="4" t="s">
        <v>69</v>
      </c>
      <c r="AJ36" s="31" t="s">
        <v>70</v>
      </c>
      <c r="AK36" s="33">
        <v>46055</v>
      </c>
      <c r="AL36" s="4" t="s">
        <v>419</v>
      </c>
    </row>
    <row r="37" spans="1:61" ht="14.25" customHeight="1" x14ac:dyDescent="0.3">
      <c r="A37" s="3" t="s">
        <v>94</v>
      </c>
      <c r="C37" s="40">
        <v>862501503</v>
      </c>
      <c r="D37" s="31">
        <v>462500693</v>
      </c>
      <c r="E37" s="4">
        <v>45407002435</v>
      </c>
      <c r="F37" s="31" t="s">
        <v>116</v>
      </c>
      <c r="G37" s="3" t="s">
        <v>182</v>
      </c>
      <c r="H37" s="31">
        <v>6</v>
      </c>
      <c r="I37" s="7" t="s">
        <v>64</v>
      </c>
      <c r="J37" s="32">
        <v>54</v>
      </c>
      <c r="K37" s="32">
        <v>60</v>
      </c>
      <c r="L37" s="31" t="s">
        <v>183</v>
      </c>
      <c r="N37" s="4" t="s">
        <v>69</v>
      </c>
      <c r="O37" s="4" t="s">
        <v>417</v>
      </c>
      <c r="P37" s="4" t="s">
        <v>65</v>
      </c>
      <c r="Q37" s="31" t="s">
        <v>81</v>
      </c>
      <c r="R37" s="27" t="s">
        <v>184</v>
      </c>
      <c r="T37" s="4" t="s">
        <v>99</v>
      </c>
      <c r="U37" s="9" t="s">
        <v>427</v>
      </c>
      <c r="V37" s="31" t="s">
        <v>67</v>
      </c>
      <c r="W37" s="4">
        <f t="shared" si="12"/>
        <v>43</v>
      </c>
      <c r="X37" s="10">
        <v>46031</v>
      </c>
      <c r="Y37" s="10">
        <v>46073</v>
      </c>
      <c r="Z37" s="8">
        <v>46074</v>
      </c>
      <c r="AC37" s="31" t="s">
        <v>152</v>
      </c>
      <c r="AE37" s="4" t="s">
        <v>69</v>
      </c>
      <c r="AJ37" s="31" t="s">
        <v>70</v>
      </c>
      <c r="AK37" s="33">
        <v>46076</v>
      </c>
      <c r="AL37" s="31" t="s">
        <v>421</v>
      </c>
    </row>
    <row r="38" spans="1:61" ht="14.25" customHeight="1" x14ac:dyDescent="0.3">
      <c r="A38" s="31" t="s">
        <v>411</v>
      </c>
      <c r="C38" s="40">
        <v>862501514</v>
      </c>
      <c r="D38" s="31">
        <v>462500642</v>
      </c>
      <c r="E38" s="4">
        <v>45407002418</v>
      </c>
      <c r="F38" s="31" t="s">
        <v>116</v>
      </c>
      <c r="G38" s="31" t="s">
        <v>187</v>
      </c>
      <c r="H38" s="31">
        <v>10</v>
      </c>
      <c r="I38" s="7" t="s">
        <v>64</v>
      </c>
      <c r="J38" s="32">
        <v>110</v>
      </c>
      <c r="K38" s="32">
        <v>130</v>
      </c>
      <c r="L38" s="65" t="s">
        <v>188</v>
      </c>
      <c r="M38" s="31" t="s">
        <v>72</v>
      </c>
      <c r="N38" s="4" t="s">
        <v>69</v>
      </c>
      <c r="O38" s="4" t="s">
        <v>418</v>
      </c>
      <c r="P38" s="4" t="s">
        <v>65</v>
      </c>
      <c r="Q38" s="31" t="s">
        <v>78</v>
      </c>
      <c r="R38" s="4" t="s">
        <v>186</v>
      </c>
      <c r="T38" s="4" t="s">
        <v>99</v>
      </c>
      <c r="U38" s="9" t="s">
        <v>427</v>
      </c>
      <c r="V38" s="31" t="s">
        <v>67</v>
      </c>
      <c r="W38" s="4">
        <f t="shared" si="12"/>
        <v>45</v>
      </c>
      <c r="X38" s="10">
        <v>46031</v>
      </c>
      <c r="Y38" s="10">
        <v>46082</v>
      </c>
      <c r="Z38" s="8">
        <v>46076</v>
      </c>
      <c r="AC38" s="31" t="s">
        <v>152</v>
      </c>
      <c r="AE38" s="4" t="s">
        <v>69</v>
      </c>
      <c r="AI38" s="13">
        <v>46079</v>
      </c>
      <c r="AJ38" s="31" t="s">
        <v>70</v>
      </c>
      <c r="AK38" s="33">
        <v>46078</v>
      </c>
      <c r="AL38" s="7" t="s">
        <v>420</v>
      </c>
      <c r="AT38" s="31" t="s">
        <v>185</v>
      </c>
    </row>
    <row r="39" spans="1:61" ht="14.25" customHeight="1" x14ac:dyDescent="0.3">
      <c r="A39" s="31" t="s">
        <v>413</v>
      </c>
      <c r="B39" s="16" t="s">
        <v>95</v>
      </c>
      <c r="C39" s="40">
        <v>862501619</v>
      </c>
      <c r="D39" s="31">
        <v>442500334</v>
      </c>
      <c r="E39" s="4">
        <v>45407002457</v>
      </c>
      <c r="F39" s="31" t="s">
        <v>89</v>
      </c>
      <c r="G39" s="31" t="s">
        <v>189</v>
      </c>
      <c r="H39" s="31">
        <v>1</v>
      </c>
      <c r="I39" s="7" t="s">
        <v>64</v>
      </c>
      <c r="J39" s="32">
        <v>2976</v>
      </c>
      <c r="K39" s="32">
        <v>3076</v>
      </c>
      <c r="L39" s="31" t="s">
        <v>190</v>
      </c>
      <c r="M39" s="31">
        <v>2602049</v>
      </c>
      <c r="N39" s="4" t="s">
        <v>69</v>
      </c>
      <c r="O39" s="4" t="s">
        <v>418</v>
      </c>
      <c r="P39" s="4" t="s">
        <v>65</v>
      </c>
      <c r="Q39" s="77" t="s">
        <v>81</v>
      </c>
      <c r="R39" s="3" t="s">
        <v>191</v>
      </c>
      <c r="S39" s="4">
        <v>1</v>
      </c>
      <c r="T39" s="4" t="s">
        <v>163</v>
      </c>
      <c r="U39" s="9" t="s">
        <v>427</v>
      </c>
      <c r="V39" s="31" t="s">
        <v>67</v>
      </c>
      <c r="W39" s="4">
        <f t="shared" si="12"/>
        <v>47</v>
      </c>
      <c r="X39" s="10">
        <v>46058</v>
      </c>
      <c r="Y39" s="10">
        <v>46093</v>
      </c>
      <c r="Z39" s="8">
        <v>46105</v>
      </c>
      <c r="AC39" s="31" t="s">
        <v>68</v>
      </c>
      <c r="AE39" s="4" t="s">
        <v>69</v>
      </c>
      <c r="AJ39" s="31" t="s">
        <v>70</v>
      </c>
      <c r="AK39" s="33">
        <v>46105</v>
      </c>
      <c r="AL39" s="31" t="s">
        <v>421</v>
      </c>
      <c r="AM39" s="72"/>
      <c r="AN39" s="33">
        <v>46174</v>
      </c>
      <c r="AO39" s="64"/>
      <c r="AP39" s="69"/>
      <c r="AQ39" s="71"/>
      <c r="AT39" s="31" t="s">
        <v>192</v>
      </c>
      <c r="BG39" s="31">
        <v>812500120</v>
      </c>
      <c r="BH39" s="31">
        <v>100382</v>
      </c>
    </row>
    <row r="40" spans="1:61" ht="14.25" customHeight="1" x14ac:dyDescent="0.3">
      <c r="A40" s="31" t="s">
        <v>413</v>
      </c>
      <c r="B40" s="16" t="s">
        <v>95</v>
      </c>
      <c r="C40" s="40">
        <v>862501619</v>
      </c>
      <c r="D40" s="31">
        <v>442500334</v>
      </c>
      <c r="E40" s="4">
        <v>45407002457</v>
      </c>
      <c r="F40" s="31" t="s">
        <v>89</v>
      </c>
      <c r="G40" s="31" t="s">
        <v>189</v>
      </c>
      <c r="H40" s="31">
        <v>1</v>
      </c>
      <c r="I40" s="7" t="s">
        <v>64</v>
      </c>
      <c r="J40" s="32">
        <v>2976</v>
      </c>
      <c r="K40" s="32">
        <v>3076</v>
      </c>
      <c r="L40" s="31" t="s">
        <v>193</v>
      </c>
      <c r="M40" s="31">
        <v>2602052</v>
      </c>
      <c r="N40" s="4" t="s">
        <v>69</v>
      </c>
      <c r="O40" s="4" t="s">
        <v>418</v>
      </c>
      <c r="P40" s="4" t="s">
        <v>65</v>
      </c>
      <c r="Q40" s="77" t="s">
        <v>81</v>
      </c>
      <c r="R40" s="3" t="s">
        <v>191</v>
      </c>
      <c r="T40" s="4" t="s">
        <v>163</v>
      </c>
      <c r="U40" s="9" t="s">
        <v>427</v>
      </c>
      <c r="V40" s="31" t="s">
        <v>67</v>
      </c>
      <c r="W40" s="4">
        <f t="shared" si="12"/>
        <v>47</v>
      </c>
      <c r="X40" s="10">
        <v>46058</v>
      </c>
      <c r="Y40" s="10">
        <v>46093</v>
      </c>
      <c r="Z40" s="8">
        <v>46105</v>
      </c>
      <c r="AC40" s="31" t="s">
        <v>68</v>
      </c>
      <c r="AE40" s="4" t="s">
        <v>69</v>
      </c>
      <c r="AJ40" s="31" t="s">
        <v>70</v>
      </c>
      <c r="AK40" s="33">
        <v>46105</v>
      </c>
      <c r="AL40" s="31" t="s">
        <v>421</v>
      </c>
      <c r="AM40" s="72"/>
      <c r="AN40" s="94">
        <v>46174</v>
      </c>
      <c r="AO40" s="64"/>
      <c r="AP40" s="69"/>
      <c r="AQ40" s="71"/>
      <c r="AT40" s="31" t="s">
        <v>192</v>
      </c>
      <c r="BG40" s="31">
        <v>812500120</v>
      </c>
      <c r="BH40" s="31">
        <v>100382</v>
      </c>
    </row>
    <row r="41" spans="1:61" ht="14.25" customHeight="1" x14ac:dyDescent="0.3">
      <c r="A41" s="31" t="s">
        <v>413</v>
      </c>
      <c r="B41" s="16" t="s">
        <v>95</v>
      </c>
      <c r="C41" s="40">
        <v>862501619</v>
      </c>
      <c r="D41" s="31">
        <v>442500334</v>
      </c>
      <c r="E41" s="4">
        <v>45407002457</v>
      </c>
      <c r="F41" s="31" t="s">
        <v>89</v>
      </c>
      <c r="G41" s="31" t="s">
        <v>189</v>
      </c>
      <c r="H41" s="31">
        <v>1</v>
      </c>
      <c r="I41" s="7" t="s">
        <v>64</v>
      </c>
      <c r="J41" s="32">
        <v>2976</v>
      </c>
      <c r="K41" s="32">
        <v>3076</v>
      </c>
      <c r="L41" s="31" t="s">
        <v>194</v>
      </c>
      <c r="M41" s="31">
        <v>2602050</v>
      </c>
      <c r="N41" s="4" t="s">
        <v>69</v>
      </c>
      <c r="O41" s="4" t="s">
        <v>418</v>
      </c>
      <c r="P41" s="4" t="s">
        <v>65</v>
      </c>
      <c r="Q41" s="77" t="s">
        <v>81</v>
      </c>
      <c r="R41" s="3" t="s">
        <v>191</v>
      </c>
      <c r="T41" s="4" t="s">
        <v>163</v>
      </c>
      <c r="U41" s="9" t="s">
        <v>427</v>
      </c>
      <c r="V41" s="31" t="s">
        <v>67</v>
      </c>
      <c r="W41" s="4">
        <f t="shared" si="12"/>
        <v>47</v>
      </c>
      <c r="X41" s="10">
        <v>46058</v>
      </c>
      <c r="Y41" s="10">
        <v>46093</v>
      </c>
      <c r="Z41" s="8">
        <v>46105</v>
      </c>
      <c r="AC41" s="31" t="s">
        <v>68</v>
      </c>
      <c r="AE41" s="4" t="s">
        <v>69</v>
      </c>
      <c r="AJ41" s="31" t="s">
        <v>70</v>
      </c>
      <c r="AK41" s="33">
        <v>46105</v>
      </c>
      <c r="AL41" s="31" t="s">
        <v>421</v>
      </c>
      <c r="AM41" s="72"/>
      <c r="AN41" s="94">
        <v>46174</v>
      </c>
      <c r="AO41" s="64"/>
      <c r="AP41" s="69"/>
      <c r="AQ41" s="71"/>
      <c r="AT41" s="31" t="s">
        <v>192</v>
      </c>
      <c r="BG41" s="31">
        <v>812500120</v>
      </c>
      <c r="BH41" s="31">
        <v>100382</v>
      </c>
    </row>
    <row r="42" spans="1:61" ht="14.25" customHeight="1" x14ac:dyDescent="0.3">
      <c r="A42" s="31" t="s">
        <v>413</v>
      </c>
      <c r="B42" s="16" t="s">
        <v>95</v>
      </c>
      <c r="C42" s="40">
        <v>862501617</v>
      </c>
      <c r="D42" s="31">
        <v>442500334</v>
      </c>
      <c r="E42" s="4">
        <v>45407002457</v>
      </c>
      <c r="F42" s="31" t="s">
        <v>89</v>
      </c>
      <c r="G42" s="31" t="s">
        <v>189</v>
      </c>
      <c r="H42" s="31">
        <v>1</v>
      </c>
      <c r="I42" s="7" t="s">
        <v>64</v>
      </c>
      <c r="J42" s="32">
        <v>2976</v>
      </c>
      <c r="K42" s="32">
        <v>3076</v>
      </c>
      <c r="L42" s="31" t="s">
        <v>195</v>
      </c>
      <c r="M42" s="31">
        <v>2602048</v>
      </c>
      <c r="N42" s="4" t="s">
        <v>69</v>
      </c>
      <c r="O42" s="4" t="s">
        <v>418</v>
      </c>
      <c r="P42" s="4" t="s">
        <v>65</v>
      </c>
      <c r="Q42" s="77" t="s">
        <v>81</v>
      </c>
      <c r="R42" s="3" t="s">
        <v>196</v>
      </c>
      <c r="S42" s="4">
        <v>1</v>
      </c>
      <c r="T42" s="4" t="s">
        <v>163</v>
      </c>
      <c r="U42" s="9" t="s">
        <v>427</v>
      </c>
      <c r="V42" s="31" t="s">
        <v>67</v>
      </c>
      <c r="W42" s="4">
        <f t="shared" si="12"/>
        <v>47</v>
      </c>
      <c r="X42" s="10">
        <v>46058</v>
      </c>
      <c r="Y42" s="10">
        <v>46093</v>
      </c>
      <c r="Z42" s="8">
        <v>46105</v>
      </c>
      <c r="AC42" s="31" t="s">
        <v>68</v>
      </c>
      <c r="AE42" s="4" t="s">
        <v>69</v>
      </c>
      <c r="AJ42" s="31" t="s">
        <v>70</v>
      </c>
      <c r="AK42" s="33">
        <v>46105</v>
      </c>
      <c r="AL42" s="31" t="s">
        <v>421</v>
      </c>
      <c r="AM42" s="72"/>
      <c r="AN42" s="94">
        <v>46174</v>
      </c>
      <c r="AP42" s="96"/>
      <c r="AT42" s="31" t="s">
        <v>192</v>
      </c>
      <c r="BG42" s="31">
        <v>812500121</v>
      </c>
      <c r="BH42" s="31">
        <v>100382</v>
      </c>
    </row>
    <row r="43" spans="1:61" ht="14.25" customHeight="1" x14ac:dyDescent="0.3">
      <c r="A43" s="31" t="s">
        <v>413</v>
      </c>
      <c r="B43" s="16" t="s">
        <v>95</v>
      </c>
      <c r="C43" s="40">
        <v>862501617</v>
      </c>
      <c r="D43" s="31">
        <v>442500334</v>
      </c>
      <c r="E43" s="4">
        <v>45407002457</v>
      </c>
      <c r="F43" s="31" t="s">
        <v>89</v>
      </c>
      <c r="G43" s="31" t="s">
        <v>189</v>
      </c>
      <c r="H43" s="31">
        <v>1</v>
      </c>
      <c r="I43" s="7" t="s">
        <v>64</v>
      </c>
      <c r="J43" s="32">
        <v>2976</v>
      </c>
      <c r="K43" s="32">
        <v>3076</v>
      </c>
      <c r="L43" s="31" t="s">
        <v>197</v>
      </c>
      <c r="M43" s="31">
        <v>2602047</v>
      </c>
      <c r="N43" s="4" t="s">
        <v>69</v>
      </c>
      <c r="O43" s="4" t="s">
        <v>418</v>
      </c>
      <c r="P43" s="4" t="s">
        <v>65</v>
      </c>
      <c r="Q43" s="77" t="s">
        <v>81</v>
      </c>
      <c r="R43" s="3" t="s">
        <v>196</v>
      </c>
      <c r="T43" s="4" t="s">
        <v>163</v>
      </c>
      <c r="U43" s="9" t="s">
        <v>427</v>
      </c>
      <c r="V43" s="31" t="s">
        <v>67</v>
      </c>
      <c r="W43" s="4">
        <f t="shared" si="12"/>
        <v>47</v>
      </c>
      <c r="X43" s="10">
        <v>46058</v>
      </c>
      <c r="Y43" s="10">
        <v>46093</v>
      </c>
      <c r="Z43" s="8">
        <v>46105</v>
      </c>
      <c r="AC43" s="31" t="s">
        <v>68</v>
      </c>
      <c r="AE43" s="4" t="s">
        <v>69</v>
      </c>
      <c r="AJ43" s="31" t="s">
        <v>70</v>
      </c>
      <c r="AK43" s="33">
        <v>46105</v>
      </c>
      <c r="AL43" s="31" t="s">
        <v>421</v>
      </c>
      <c r="AM43" s="72"/>
      <c r="AN43" s="94">
        <v>46174</v>
      </c>
      <c r="AO43" s="64"/>
      <c r="AP43" s="69"/>
      <c r="AQ43" s="71"/>
      <c r="AT43" s="31" t="s">
        <v>192</v>
      </c>
      <c r="BG43" s="31">
        <v>812500121</v>
      </c>
      <c r="BH43" s="31">
        <v>100382</v>
      </c>
    </row>
    <row r="44" spans="1:61" ht="14.25" customHeight="1" x14ac:dyDescent="0.3">
      <c r="A44" s="31" t="s">
        <v>413</v>
      </c>
      <c r="B44" s="16" t="s">
        <v>95</v>
      </c>
      <c r="C44" s="40">
        <v>862501617</v>
      </c>
      <c r="D44" s="31">
        <v>442500334</v>
      </c>
      <c r="E44" s="4">
        <v>45407002457</v>
      </c>
      <c r="F44" s="31" t="s">
        <v>89</v>
      </c>
      <c r="G44" s="89" t="s">
        <v>189</v>
      </c>
      <c r="H44" s="31">
        <v>1</v>
      </c>
      <c r="I44" s="7" t="s">
        <v>64</v>
      </c>
      <c r="J44" s="32">
        <v>2976</v>
      </c>
      <c r="K44" s="32">
        <v>3076</v>
      </c>
      <c r="L44" s="31" t="s">
        <v>198</v>
      </c>
      <c r="M44" s="31">
        <v>2602046</v>
      </c>
      <c r="N44" s="4" t="s">
        <v>69</v>
      </c>
      <c r="O44" s="4" t="s">
        <v>418</v>
      </c>
      <c r="P44" s="4" t="s">
        <v>65</v>
      </c>
      <c r="Q44" s="77" t="s">
        <v>81</v>
      </c>
      <c r="R44" s="3" t="s">
        <v>196</v>
      </c>
      <c r="T44" s="4" t="s">
        <v>163</v>
      </c>
      <c r="U44" s="9" t="s">
        <v>427</v>
      </c>
      <c r="V44" s="31" t="s">
        <v>67</v>
      </c>
      <c r="W44" s="4">
        <f t="shared" si="12"/>
        <v>47</v>
      </c>
      <c r="X44" s="10">
        <v>46058</v>
      </c>
      <c r="Y44" s="10">
        <v>46093</v>
      </c>
      <c r="Z44" s="8">
        <v>46105</v>
      </c>
      <c r="AC44" s="31" t="s">
        <v>68</v>
      </c>
      <c r="AE44" s="4" t="s">
        <v>69</v>
      </c>
      <c r="AJ44" s="31" t="s">
        <v>70</v>
      </c>
      <c r="AK44" s="33">
        <v>46105</v>
      </c>
      <c r="AL44" s="31" t="s">
        <v>421</v>
      </c>
      <c r="AM44" s="72"/>
      <c r="AN44" s="94">
        <v>46174</v>
      </c>
      <c r="AO44" s="64"/>
      <c r="AQ44" s="71"/>
      <c r="AT44" s="31" t="s">
        <v>192</v>
      </c>
      <c r="BG44" s="31">
        <v>812500121</v>
      </c>
      <c r="BH44" s="31">
        <v>100382</v>
      </c>
    </row>
    <row r="45" spans="1:61" ht="14.25" customHeight="1" x14ac:dyDescent="0.3">
      <c r="A45" s="31" t="s">
        <v>413</v>
      </c>
      <c r="B45" s="16" t="s">
        <v>95</v>
      </c>
      <c r="C45" s="40">
        <v>862501628</v>
      </c>
      <c r="D45" s="31">
        <v>442500329</v>
      </c>
      <c r="E45" s="4">
        <v>45407002458</v>
      </c>
      <c r="F45" s="31" t="s">
        <v>89</v>
      </c>
      <c r="G45" s="31" t="s">
        <v>202</v>
      </c>
      <c r="H45" s="31">
        <v>1</v>
      </c>
      <c r="I45" s="7" t="s">
        <v>64</v>
      </c>
      <c r="J45" s="32">
        <v>3618</v>
      </c>
      <c r="K45" s="32">
        <v>3718</v>
      </c>
      <c r="L45" s="31" t="s">
        <v>203</v>
      </c>
      <c r="M45" s="31">
        <v>2601061</v>
      </c>
      <c r="N45" s="4" t="s">
        <v>69</v>
      </c>
      <c r="O45" s="4" t="s">
        <v>418</v>
      </c>
      <c r="P45" s="4" t="s">
        <v>65</v>
      </c>
      <c r="Q45" s="31" t="s">
        <v>66</v>
      </c>
      <c r="R45" s="3" t="s">
        <v>204</v>
      </c>
      <c r="S45" s="4">
        <v>1</v>
      </c>
      <c r="T45" s="4" t="s">
        <v>99</v>
      </c>
      <c r="U45" s="9" t="s">
        <v>427</v>
      </c>
      <c r="V45" s="31" t="s">
        <v>67</v>
      </c>
      <c r="W45" s="4">
        <f t="shared" si="12"/>
        <v>59</v>
      </c>
      <c r="X45" s="10">
        <v>46058</v>
      </c>
      <c r="Y45" s="10">
        <v>46103</v>
      </c>
      <c r="Z45" s="36">
        <v>46117</v>
      </c>
      <c r="AC45" s="31" t="s">
        <v>68</v>
      </c>
      <c r="AD45" s="4" t="s">
        <v>115</v>
      </c>
      <c r="AE45" s="4" t="s">
        <v>69</v>
      </c>
      <c r="AJ45" s="31" t="s">
        <v>70</v>
      </c>
      <c r="AK45" s="33">
        <v>46119</v>
      </c>
      <c r="AL45" s="4" t="s">
        <v>419</v>
      </c>
      <c r="AN45" s="33">
        <v>46175</v>
      </c>
      <c r="BG45" s="31">
        <v>812600004</v>
      </c>
      <c r="BH45" s="31">
        <v>100406</v>
      </c>
    </row>
    <row r="46" spans="1:61" ht="14.25" customHeight="1" x14ac:dyDescent="0.3">
      <c r="A46" s="31" t="s">
        <v>413</v>
      </c>
      <c r="B46" s="88" t="s">
        <v>95</v>
      </c>
      <c r="C46" s="40">
        <v>862501628</v>
      </c>
      <c r="D46" s="69">
        <v>442500329</v>
      </c>
      <c r="E46" s="46">
        <v>45407002458</v>
      </c>
      <c r="F46" s="69" t="s">
        <v>89</v>
      </c>
      <c r="G46" s="69" t="s">
        <v>202</v>
      </c>
      <c r="H46" s="69">
        <v>1</v>
      </c>
      <c r="I46" s="46" t="s">
        <v>64</v>
      </c>
      <c r="J46" s="72">
        <v>3618</v>
      </c>
      <c r="K46" s="72">
        <v>3718</v>
      </c>
      <c r="L46" s="69" t="s">
        <v>205</v>
      </c>
      <c r="M46" s="69">
        <v>2601063</v>
      </c>
      <c r="N46" s="4" t="s">
        <v>69</v>
      </c>
      <c r="O46" s="4" t="s">
        <v>418</v>
      </c>
      <c r="P46" s="4" t="s">
        <v>65</v>
      </c>
      <c r="Q46" s="69" t="s">
        <v>66</v>
      </c>
      <c r="R46" s="92" t="s">
        <v>204</v>
      </c>
      <c r="T46" s="4" t="s">
        <v>99</v>
      </c>
      <c r="U46" s="9" t="s">
        <v>427</v>
      </c>
      <c r="V46" s="31" t="s">
        <v>67</v>
      </c>
      <c r="W46" s="4">
        <f t="shared" si="12"/>
        <v>59</v>
      </c>
      <c r="X46" s="10">
        <v>46058</v>
      </c>
      <c r="Y46" s="10">
        <v>46103</v>
      </c>
      <c r="Z46" s="36">
        <v>46117</v>
      </c>
      <c r="AC46" s="31" t="s">
        <v>68</v>
      </c>
      <c r="AD46" s="4" t="s">
        <v>115</v>
      </c>
      <c r="AE46" s="4" t="s">
        <v>69</v>
      </c>
      <c r="AJ46" s="31" t="s">
        <v>70</v>
      </c>
      <c r="AK46" s="33">
        <v>46119</v>
      </c>
      <c r="AL46" s="4" t="s">
        <v>419</v>
      </c>
      <c r="AN46" s="33">
        <v>46175</v>
      </c>
      <c r="BG46" s="31">
        <v>812600004</v>
      </c>
      <c r="BH46" s="31">
        <v>100406</v>
      </c>
    </row>
    <row r="47" spans="1:61" ht="14.25" customHeight="1" x14ac:dyDescent="0.3">
      <c r="A47" s="31" t="s">
        <v>413</v>
      </c>
      <c r="C47" s="40">
        <v>862501710</v>
      </c>
      <c r="D47" s="31">
        <v>462500723</v>
      </c>
      <c r="E47" s="4">
        <v>45407002439</v>
      </c>
      <c r="F47" s="64" t="s">
        <v>116</v>
      </c>
      <c r="G47" s="44" t="s">
        <v>206</v>
      </c>
      <c r="H47" s="71">
        <v>15</v>
      </c>
      <c r="I47" s="7" t="s">
        <v>64</v>
      </c>
      <c r="J47" s="32">
        <v>135</v>
      </c>
      <c r="K47" s="32">
        <v>135</v>
      </c>
      <c r="L47" s="31" t="s">
        <v>207</v>
      </c>
      <c r="M47" s="31" t="s">
        <v>72</v>
      </c>
      <c r="N47" s="4" t="s">
        <v>69</v>
      </c>
      <c r="O47" s="4" t="s">
        <v>418</v>
      </c>
      <c r="P47" s="4" t="s">
        <v>65</v>
      </c>
      <c r="Q47" s="31" t="s">
        <v>66</v>
      </c>
      <c r="R47" s="44" t="s">
        <v>208</v>
      </c>
      <c r="T47" s="4" t="s">
        <v>99</v>
      </c>
      <c r="U47" s="9" t="s">
        <v>427</v>
      </c>
      <c r="V47" s="31" t="s">
        <v>67</v>
      </c>
      <c r="W47" s="4">
        <f t="shared" si="12"/>
        <v>44</v>
      </c>
      <c r="X47" s="10">
        <v>46073</v>
      </c>
      <c r="Y47" s="10">
        <v>46119</v>
      </c>
      <c r="Z47" s="36">
        <v>46117</v>
      </c>
      <c r="AC47" s="31" t="s">
        <v>152</v>
      </c>
      <c r="AD47" s="4" t="s">
        <v>115</v>
      </c>
      <c r="AE47" s="4" t="s">
        <v>69</v>
      </c>
      <c r="AJ47" s="31" t="s">
        <v>70</v>
      </c>
      <c r="AK47" s="33">
        <v>46119</v>
      </c>
      <c r="AL47" s="4" t="s">
        <v>419</v>
      </c>
    </row>
    <row r="48" spans="1:61" ht="14.25" customHeight="1" x14ac:dyDescent="0.3">
      <c r="A48" s="31" t="s">
        <v>413</v>
      </c>
      <c r="B48" s="16" t="s">
        <v>95</v>
      </c>
      <c r="C48" s="40">
        <v>862501654</v>
      </c>
      <c r="D48" s="31">
        <v>442500329</v>
      </c>
      <c r="E48" s="4">
        <v>45407002458</v>
      </c>
      <c r="F48" s="64" t="s">
        <v>89</v>
      </c>
      <c r="G48" s="44" t="s">
        <v>202</v>
      </c>
      <c r="H48" s="71">
        <v>1</v>
      </c>
      <c r="I48" s="7" t="s">
        <v>64</v>
      </c>
      <c r="J48" s="32">
        <v>3618</v>
      </c>
      <c r="K48" s="32">
        <v>3718</v>
      </c>
      <c r="L48" s="31" t="s">
        <v>209</v>
      </c>
      <c r="M48" s="31">
        <v>2601062</v>
      </c>
      <c r="N48" s="4" t="s">
        <v>69</v>
      </c>
      <c r="O48" s="4" t="s">
        <v>418</v>
      </c>
      <c r="P48" s="4" t="s">
        <v>65</v>
      </c>
      <c r="Q48" s="31" t="s">
        <v>66</v>
      </c>
      <c r="R48" s="44" t="s">
        <v>210</v>
      </c>
      <c r="S48" s="4">
        <v>1</v>
      </c>
      <c r="T48" s="4" t="s">
        <v>99</v>
      </c>
      <c r="U48" s="9" t="s">
        <v>427</v>
      </c>
      <c r="V48" s="31" t="s">
        <v>67</v>
      </c>
      <c r="W48" s="4">
        <f t="shared" si="12"/>
        <v>59</v>
      </c>
      <c r="X48" s="10">
        <v>46058</v>
      </c>
      <c r="Y48" s="10">
        <v>46103</v>
      </c>
      <c r="Z48" s="36">
        <v>46117</v>
      </c>
      <c r="AA48" s="7"/>
      <c r="AB48" s="7"/>
      <c r="AC48" s="65" t="s">
        <v>152</v>
      </c>
      <c r="AD48" s="7" t="s">
        <v>115</v>
      </c>
      <c r="AE48" s="7" t="s">
        <v>69</v>
      </c>
      <c r="AF48" s="7"/>
      <c r="AG48" s="7"/>
      <c r="AH48" s="11"/>
      <c r="AI48" s="7"/>
      <c r="AJ48" s="65" t="s">
        <v>70</v>
      </c>
      <c r="AK48" s="33">
        <v>46119</v>
      </c>
      <c r="AL48" s="4" t="s">
        <v>419</v>
      </c>
      <c r="AM48" s="65"/>
      <c r="AN48" s="33"/>
      <c r="BG48" s="31">
        <v>812600009</v>
      </c>
      <c r="BH48" s="31">
        <v>100406</v>
      </c>
    </row>
    <row r="49" spans="1:61" ht="14.25" customHeight="1" x14ac:dyDescent="0.3">
      <c r="A49" s="31" t="s">
        <v>413</v>
      </c>
      <c r="C49" s="40">
        <v>862501634</v>
      </c>
      <c r="D49" s="31">
        <v>462500721</v>
      </c>
      <c r="E49" s="4">
        <v>45407002438</v>
      </c>
      <c r="F49" s="64" t="s">
        <v>116</v>
      </c>
      <c r="G49" s="44" t="s">
        <v>212</v>
      </c>
      <c r="H49" s="71">
        <v>7</v>
      </c>
      <c r="I49" s="7" t="s">
        <v>64</v>
      </c>
      <c r="J49" s="32">
        <v>77</v>
      </c>
      <c r="K49" s="32">
        <v>82</v>
      </c>
      <c r="L49" s="31" t="s">
        <v>213</v>
      </c>
      <c r="M49" s="31" t="s">
        <v>72</v>
      </c>
      <c r="N49" s="4" t="s">
        <v>69</v>
      </c>
      <c r="O49" s="4" t="s">
        <v>418</v>
      </c>
      <c r="P49" s="4" t="s">
        <v>65</v>
      </c>
      <c r="Q49" s="31" t="s">
        <v>66</v>
      </c>
      <c r="R49" s="44" t="s">
        <v>211</v>
      </c>
      <c r="T49" s="4" t="s">
        <v>99</v>
      </c>
      <c r="U49" s="9" t="s">
        <v>427</v>
      </c>
      <c r="V49" s="31" t="s">
        <v>67</v>
      </c>
      <c r="W49" s="4">
        <f t="shared" si="12"/>
        <v>59</v>
      </c>
      <c r="X49" s="10">
        <v>46058</v>
      </c>
      <c r="Y49" s="10">
        <v>46103</v>
      </c>
      <c r="Z49" s="36">
        <v>46117</v>
      </c>
      <c r="AC49" s="31" t="s">
        <v>152</v>
      </c>
      <c r="AD49" s="4" t="s">
        <v>115</v>
      </c>
      <c r="AE49" s="4" t="s">
        <v>69</v>
      </c>
      <c r="AJ49" s="31" t="s">
        <v>70</v>
      </c>
      <c r="AK49" s="33">
        <v>46119</v>
      </c>
      <c r="AL49" s="4" t="s">
        <v>419</v>
      </c>
    </row>
    <row r="50" spans="1:61" ht="14.25" customHeight="1" x14ac:dyDescent="0.3">
      <c r="A50" s="31" t="s">
        <v>413</v>
      </c>
      <c r="B50" s="16" t="s">
        <v>95</v>
      </c>
      <c r="C50" s="40">
        <v>862501706</v>
      </c>
      <c r="D50" s="31">
        <v>442500331</v>
      </c>
      <c r="E50" s="4">
        <v>45407002463</v>
      </c>
      <c r="F50" s="64" t="s">
        <v>89</v>
      </c>
      <c r="G50" s="44" t="s">
        <v>80</v>
      </c>
      <c r="H50" s="71">
        <v>1</v>
      </c>
      <c r="I50" s="7" t="s">
        <v>64</v>
      </c>
      <c r="J50" s="32">
        <v>3117</v>
      </c>
      <c r="K50" s="32">
        <v>3217</v>
      </c>
      <c r="L50" s="31" t="s">
        <v>214</v>
      </c>
      <c r="M50" s="31">
        <v>2601070</v>
      </c>
      <c r="N50" s="4" t="s">
        <v>69</v>
      </c>
      <c r="O50" s="4" t="s">
        <v>418</v>
      </c>
      <c r="P50" s="4" t="s">
        <v>65</v>
      </c>
      <c r="Q50" s="31" t="s">
        <v>66</v>
      </c>
      <c r="R50" s="44" t="s">
        <v>215</v>
      </c>
      <c r="S50" s="4">
        <v>1</v>
      </c>
      <c r="T50" s="4" t="s">
        <v>99</v>
      </c>
      <c r="U50" s="9" t="s">
        <v>427</v>
      </c>
      <c r="V50" s="31" t="s">
        <v>67</v>
      </c>
      <c r="W50" s="4">
        <f t="shared" si="12"/>
        <v>44</v>
      </c>
      <c r="X50" s="10">
        <v>46073</v>
      </c>
      <c r="Y50" s="10">
        <v>46119</v>
      </c>
      <c r="Z50" s="36">
        <v>46117</v>
      </c>
      <c r="AC50" s="31" t="s">
        <v>68</v>
      </c>
      <c r="AD50" s="4" t="s">
        <v>115</v>
      </c>
      <c r="AE50" s="4" t="s">
        <v>69</v>
      </c>
      <c r="AJ50" s="31" t="s">
        <v>70</v>
      </c>
      <c r="AK50" s="33">
        <v>46119</v>
      </c>
      <c r="AL50" s="4" t="s">
        <v>419</v>
      </c>
      <c r="AN50" s="33">
        <v>46185</v>
      </c>
      <c r="BG50" s="31">
        <v>812600003</v>
      </c>
      <c r="BH50" s="31">
        <v>100401</v>
      </c>
    </row>
    <row r="51" spans="1:61" ht="14.25" customHeight="1" x14ac:dyDescent="0.3">
      <c r="A51" s="31" t="s">
        <v>413</v>
      </c>
      <c r="B51" s="16" t="s">
        <v>95</v>
      </c>
      <c r="C51" s="40">
        <v>862501706</v>
      </c>
      <c r="D51" s="31">
        <v>442500331</v>
      </c>
      <c r="E51" s="4">
        <v>45407002463</v>
      </c>
      <c r="F51" s="64" t="s">
        <v>89</v>
      </c>
      <c r="G51" s="44" t="s">
        <v>80</v>
      </c>
      <c r="H51" s="71">
        <v>1</v>
      </c>
      <c r="I51" s="7" t="s">
        <v>64</v>
      </c>
      <c r="J51" s="32">
        <v>3117</v>
      </c>
      <c r="K51" s="32">
        <v>3217</v>
      </c>
      <c r="L51" s="31" t="s">
        <v>216</v>
      </c>
      <c r="M51" s="31">
        <v>2601071</v>
      </c>
      <c r="N51" s="4" t="s">
        <v>69</v>
      </c>
      <c r="O51" s="4" t="s">
        <v>418</v>
      </c>
      <c r="P51" s="4" t="s">
        <v>65</v>
      </c>
      <c r="Q51" s="31" t="s">
        <v>66</v>
      </c>
      <c r="R51" s="44" t="s">
        <v>215</v>
      </c>
      <c r="T51" s="4" t="s">
        <v>99</v>
      </c>
      <c r="U51" s="9" t="s">
        <v>427</v>
      </c>
      <c r="V51" s="31" t="s">
        <v>67</v>
      </c>
      <c r="W51" s="4">
        <f t="shared" ref="W51:W58" si="13">_xlfn.DAYS(Z51,X51)</f>
        <v>44</v>
      </c>
      <c r="X51" s="10">
        <v>46073</v>
      </c>
      <c r="Y51" s="10">
        <v>46119</v>
      </c>
      <c r="Z51" s="36">
        <v>46117</v>
      </c>
      <c r="AC51" s="31" t="s">
        <v>68</v>
      </c>
      <c r="AD51" s="4" t="s">
        <v>115</v>
      </c>
      <c r="AE51" s="4" t="s">
        <v>69</v>
      </c>
      <c r="AJ51" s="31" t="s">
        <v>70</v>
      </c>
      <c r="AK51" s="93">
        <v>46119</v>
      </c>
      <c r="AL51" s="4" t="s">
        <v>419</v>
      </c>
      <c r="AN51" s="33">
        <v>46181</v>
      </c>
      <c r="BG51" s="31">
        <v>812600003</v>
      </c>
      <c r="BH51" s="31">
        <v>100401</v>
      </c>
    </row>
    <row r="52" spans="1:61" ht="14.25" customHeight="1" x14ac:dyDescent="0.3">
      <c r="A52" s="31" t="s">
        <v>413</v>
      </c>
      <c r="B52" s="16" t="s">
        <v>95</v>
      </c>
      <c r="C52" s="40">
        <v>862501706</v>
      </c>
      <c r="D52" s="31">
        <v>442500331</v>
      </c>
      <c r="E52" s="4">
        <v>45407002463</v>
      </c>
      <c r="F52" s="64" t="s">
        <v>89</v>
      </c>
      <c r="G52" s="44" t="s">
        <v>80</v>
      </c>
      <c r="H52" s="71">
        <v>1</v>
      </c>
      <c r="I52" s="7" t="s">
        <v>64</v>
      </c>
      <c r="J52" s="32">
        <v>3117</v>
      </c>
      <c r="K52" s="32">
        <v>3217</v>
      </c>
      <c r="L52" s="31" t="s">
        <v>217</v>
      </c>
      <c r="M52" s="31">
        <v>2601072</v>
      </c>
      <c r="N52" s="4" t="s">
        <v>69</v>
      </c>
      <c r="O52" s="4" t="s">
        <v>418</v>
      </c>
      <c r="P52" s="4" t="s">
        <v>65</v>
      </c>
      <c r="Q52" s="31" t="s">
        <v>66</v>
      </c>
      <c r="R52" s="44" t="s">
        <v>215</v>
      </c>
      <c r="T52" s="4" t="s">
        <v>99</v>
      </c>
      <c r="U52" s="9" t="s">
        <v>427</v>
      </c>
      <c r="V52" s="31" t="s">
        <v>67</v>
      </c>
      <c r="W52" s="4">
        <f t="shared" si="13"/>
        <v>44</v>
      </c>
      <c r="X52" s="10">
        <v>46073</v>
      </c>
      <c r="Y52" s="10">
        <v>46119</v>
      </c>
      <c r="Z52" s="36">
        <v>46117</v>
      </c>
      <c r="AC52" s="31" t="s">
        <v>68</v>
      </c>
      <c r="AD52" s="4" t="s">
        <v>115</v>
      </c>
      <c r="AE52" s="4" t="s">
        <v>69</v>
      </c>
      <c r="AJ52" s="31" t="s">
        <v>70</v>
      </c>
      <c r="AK52" s="75">
        <v>46119</v>
      </c>
      <c r="AL52" s="4" t="s">
        <v>419</v>
      </c>
      <c r="AN52" s="33">
        <v>46195</v>
      </c>
      <c r="BG52" s="31">
        <v>812600003</v>
      </c>
      <c r="BH52" s="31">
        <v>100401</v>
      </c>
    </row>
    <row r="53" spans="1:61" ht="14.25" customHeight="1" x14ac:dyDescent="0.3">
      <c r="A53" s="31" t="s">
        <v>411</v>
      </c>
      <c r="B53" s="16" t="s">
        <v>169</v>
      </c>
      <c r="C53" s="40">
        <v>862501622</v>
      </c>
      <c r="D53" s="31">
        <v>442500326</v>
      </c>
      <c r="E53" s="4">
        <v>45407002445</v>
      </c>
      <c r="F53" s="64" t="s">
        <v>89</v>
      </c>
      <c r="G53" s="44" t="s">
        <v>170</v>
      </c>
      <c r="H53" s="71">
        <v>1</v>
      </c>
      <c r="I53" s="7" t="s">
        <v>64</v>
      </c>
      <c r="J53" s="32">
        <v>4182</v>
      </c>
      <c r="K53" s="32">
        <v>4282</v>
      </c>
      <c r="L53" s="31" t="s">
        <v>218</v>
      </c>
      <c r="M53" s="31">
        <v>2601038</v>
      </c>
      <c r="N53" s="4" t="s">
        <v>69</v>
      </c>
      <c r="O53" s="4" t="s">
        <v>418</v>
      </c>
      <c r="P53" s="4" t="s">
        <v>65</v>
      </c>
      <c r="Q53" s="31" t="s">
        <v>78</v>
      </c>
      <c r="R53" s="44" t="s">
        <v>219</v>
      </c>
      <c r="S53" s="4">
        <v>1</v>
      </c>
      <c r="T53" s="4" t="s">
        <v>99</v>
      </c>
      <c r="U53" s="9" t="s">
        <v>427</v>
      </c>
      <c r="V53" s="31" t="s">
        <v>67</v>
      </c>
      <c r="W53" s="4">
        <f t="shared" si="13"/>
        <v>62</v>
      </c>
      <c r="X53" s="10">
        <v>46058</v>
      </c>
      <c r="Y53" s="10">
        <v>46113</v>
      </c>
      <c r="Z53" s="36">
        <v>46120</v>
      </c>
      <c r="AC53" s="31" t="s">
        <v>68</v>
      </c>
      <c r="AD53" s="13" t="s">
        <v>115</v>
      </c>
      <c r="AE53" s="4" t="s">
        <v>69</v>
      </c>
      <c r="AJ53" s="31" t="s">
        <v>70</v>
      </c>
      <c r="AK53" s="33">
        <v>46121</v>
      </c>
      <c r="AL53" s="7" t="s">
        <v>420</v>
      </c>
      <c r="AN53" s="33">
        <v>46184</v>
      </c>
      <c r="BG53" s="31">
        <v>812600018</v>
      </c>
      <c r="BH53" s="31">
        <v>100437</v>
      </c>
      <c r="BI53" s="31" t="s">
        <v>173</v>
      </c>
    </row>
    <row r="54" spans="1:61" ht="14.25" customHeight="1" x14ac:dyDescent="0.3">
      <c r="A54" s="31" t="s">
        <v>411</v>
      </c>
      <c r="B54" s="16" t="s">
        <v>169</v>
      </c>
      <c r="C54" s="40">
        <v>862501622</v>
      </c>
      <c r="D54" s="31">
        <v>442500326</v>
      </c>
      <c r="E54" s="4">
        <v>45407002445</v>
      </c>
      <c r="F54" s="64" t="s">
        <v>89</v>
      </c>
      <c r="G54" s="44" t="s">
        <v>170</v>
      </c>
      <c r="H54" s="71">
        <v>1</v>
      </c>
      <c r="I54" s="7" t="s">
        <v>64</v>
      </c>
      <c r="J54" s="32">
        <v>4182</v>
      </c>
      <c r="K54" s="32">
        <v>4282</v>
      </c>
      <c r="L54" s="31" t="s">
        <v>220</v>
      </c>
      <c r="M54" s="31">
        <v>2601039</v>
      </c>
      <c r="N54" s="4" t="s">
        <v>69</v>
      </c>
      <c r="O54" s="4" t="s">
        <v>418</v>
      </c>
      <c r="P54" s="4" t="s">
        <v>65</v>
      </c>
      <c r="Q54" s="31" t="s">
        <v>78</v>
      </c>
      <c r="R54" s="44" t="s">
        <v>219</v>
      </c>
      <c r="T54" s="4" t="s">
        <v>99</v>
      </c>
      <c r="U54" s="9" t="s">
        <v>427</v>
      </c>
      <c r="V54" s="31" t="s">
        <v>67</v>
      </c>
      <c r="W54" s="4">
        <f t="shared" si="13"/>
        <v>62</v>
      </c>
      <c r="X54" s="10">
        <v>46058</v>
      </c>
      <c r="Y54" s="10">
        <v>46113</v>
      </c>
      <c r="Z54" s="36">
        <v>46120</v>
      </c>
      <c r="AC54" s="31" t="s">
        <v>152</v>
      </c>
      <c r="AD54" s="13" t="s">
        <v>115</v>
      </c>
      <c r="AE54" s="4" t="s">
        <v>69</v>
      </c>
      <c r="AJ54" s="31" t="s">
        <v>70</v>
      </c>
      <c r="AK54" s="33">
        <v>46121</v>
      </c>
      <c r="AL54" s="7" t="s">
        <v>420</v>
      </c>
      <c r="BG54" s="31">
        <v>812600018</v>
      </c>
      <c r="BH54" s="31">
        <v>100437</v>
      </c>
      <c r="BI54" s="31" t="s">
        <v>173</v>
      </c>
    </row>
    <row r="55" spans="1:61" ht="14.25" customHeight="1" x14ac:dyDescent="0.3">
      <c r="A55" s="31" t="s">
        <v>411</v>
      </c>
      <c r="B55" s="16" t="s">
        <v>169</v>
      </c>
      <c r="C55" s="40">
        <v>862501640</v>
      </c>
      <c r="D55" s="31">
        <v>442500326</v>
      </c>
      <c r="E55" s="4">
        <v>45407002445</v>
      </c>
      <c r="F55" s="64" t="s">
        <v>89</v>
      </c>
      <c r="G55" s="44" t="s">
        <v>170</v>
      </c>
      <c r="H55" s="71">
        <v>1</v>
      </c>
      <c r="I55" s="7" t="s">
        <v>64</v>
      </c>
      <c r="J55" s="32">
        <v>4182</v>
      </c>
      <c r="K55" s="32">
        <v>4282</v>
      </c>
      <c r="L55" s="31" t="s">
        <v>221</v>
      </c>
      <c r="M55" s="31">
        <v>2601040</v>
      </c>
      <c r="N55" s="4" t="s">
        <v>69</v>
      </c>
      <c r="O55" s="4" t="s">
        <v>418</v>
      </c>
      <c r="P55" s="4" t="s">
        <v>65</v>
      </c>
      <c r="Q55" s="31" t="s">
        <v>78</v>
      </c>
      <c r="R55" s="44" t="s">
        <v>172</v>
      </c>
      <c r="S55" s="4">
        <v>1</v>
      </c>
      <c r="T55" s="4" t="s">
        <v>99</v>
      </c>
      <c r="U55" s="9" t="s">
        <v>427</v>
      </c>
      <c r="V55" s="31" t="s">
        <v>67</v>
      </c>
      <c r="W55" s="4">
        <f t="shared" si="13"/>
        <v>62</v>
      </c>
      <c r="X55" s="10">
        <v>46058</v>
      </c>
      <c r="Y55" s="10">
        <v>46113</v>
      </c>
      <c r="Z55" s="36">
        <v>46120</v>
      </c>
      <c r="AC55" s="31" t="s">
        <v>152</v>
      </c>
      <c r="AD55" s="13" t="s">
        <v>115</v>
      </c>
      <c r="AE55" s="4" t="s">
        <v>69</v>
      </c>
      <c r="AJ55" s="31" t="s">
        <v>70</v>
      </c>
      <c r="AK55" s="33">
        <v>46121</v>
      </c>
      <c r="AL55" s="7" t="s">
        <v>420</v>
      </c>
      <c r="BG55" s="31">
        <v>812600020</v>
      </c>
      <c r="BH55" s="31">
        <v>100437</v>
      </c>
      <c r="BI55" s="31" t="s">
        <v>173</v>
      </c>
    </row>
    <row r="56" spans="1:61" ht="14.25" customHeight="1" x14ac:dyDescent="0.3">
      <c r="A56" s="31" t="s">
        <v>411</v>
      </c>
      <c r="C56" s="40">
        <v>862501638</v>
      </c>
      <c r="D56" s="31">
        <v>462500716</v>
      </c>
      <c r="E56" s="4">
        <v>45407002453</v>
      </c>
      <c r="F56" s="64" t="s">
        <v>116</v>
      </c>
      <c r="G56" s="44" t="s">
        <v>222</v>
      </c>
      <c r="H56" s="71">
        <v>1</v>
      </c>
      <c r="I56" s="7" t="s">
        <v>64</v>
      </c>
      <c r="J56" s="32">
        <v>121</v>
      </c>
      <c r="K56" s="32">
        <v>151</v>
      </c>
      <c r="L56" s="31" t="s">
        <v>223</v>
      </c>
      <c r="M56" s="31" t="s">
        <v>72</v>
      </c>
      <c r="N56" s="4" t="s">
        <v>69</v>
      </c>
      <c r="O56" s="4" t="s">
        <v>418</v>
      </c>
      <c r="P56" s="4" t="s">
        <v>65</v>
      </c>
      <c r="Q56" s="31" t="s">
        <v>78</v>
      </c>
      <c r="R56" s="44" t="s">
        <v>224</v>
      </c>
      <c r="T56" s="4" t="s">
        <v>99</v>
      </c>
      <c r="U56" s="9" t="s">
        <v>427</v>
      </c>
      <c r="V56" s="31" t="s">
        <v>67</v>
      </c>
      <c r="W56" s="4">
        <f t="shared" si="13"/>
        <v>62</v>
      </c>
      <c r="X56" s="10">
        <v>46058</v>
      </c>
      <c r="Y56" s="10">
        <v>46113</v>
      </c>
      <c r="Z56" s="36">
        <v>46120</v>
      </c>
      <c r="AC56" s="31" t="s">
        <v>152</v>
      </c>
      <c r="AD56" s="13" t="s">
        <v>115</v>
      </c>
      <c r="AE56" s="4" t="s">
        <v>69</v>
      </c>
      <c r="AJ56" s="31" t="s">
        <v>70</v>
      </c>
      <c r="AK56" s="33">
        <v>46121</v>
      </c>
      <c r="AL56" s="7" t="s">
        <v>420</v>
      </c>
    </row>
    <row r="57" spans="1:61" ht="14.25" customHeight="1" x14ac:dyDescent="0.3">
      <c r="A57" s="31" t="s">
        <v>411</v>
      </c>
      <c r="B57" s="16" t="s">
        <v>169</v>
      </c>
      <c r="C57" s="40">
        <v>862501651</v>
      </c>
      <c r="D57" s="31">
        <v>442500326</v>
      </c>
      <c r="E57" s="4">
        <v>45407002445</v>
      </c>
      <c r="F57" s="64" t="s">
        <v>89</v>
      </c>
      <c r="G57" s="44" t="s">
        <v>170</v>
      </c>
      <c r="H57" s="71">
        <v>1</v>
      </c>
      <c r="I57" s="7" t="s">
        <v>64</v>
      </c>
      <c r="J57" s="32">
        <v>4182</v>
      </c>
      <c r="K57" s="32">
        <v>4282</v>
      </c>
      <c r="L57" s="31" t="s">
        <v>225</v>
      </c>
      <c r="M57" s="31">
        <v>2601043</v>
      </c>
      <c r="N57" s="4" t="s">
        <v>69</v>
      </c>
      <c r="O57" s="4" t="s">
        <v>418</v>
      </c>
      <c r="P57" s="4" t="s">
        <v>65</v>
      </c>
      <c r="Q57" s="31" t="s">
        <v>78</v>
      </c>
      <c r="R57" s="44" t="s">
        <v>226</v>
      </c>
      <c r="S57" s="4">
        <v>1</v>
      </c>
      <c r="T57" s="4" t="s">
        <v>99</v>
      </c>
      <c r="U57" s="9" t="s">
        <v>427</v>
      </c>
      <c r="V57" s="31" t="s">
        <v>67</v>
      </c>
      <c r="W57" s="4">
        <f t="shared" si="13"/>
        <v>62</v>
      </c>
      <c r="X57" s="10">
        <v>46058</v>
      </c>
      <c r="Y57" s="10">
        <v>46113</v>
      </c>
      <c r="Z57" s="36">
        <v>46120</v>
      </c>
      <c r="AC57" s="31" t="s">
        <v>152</v>
      </c>
      <c r="AD57" s="13" t="s">
        <v>115</v>
      </c>
      <c r="AE57" s="4" t="s">
        <v>69</v>
      </c>
      <c r="AJ57" s="31" t="s">
        <v>70</v>
      </c>
      <c r="AK57" s="33">
        <v>46121</v>
      </c>
      <c r="AL57" s="7" t="s">
        <v>420</v>
      </c>
      <c r="BG57" s="31">
        <v>812600019</v>
      </c>
      <c r="BH57" s="31">
        <v>100437</v>
      </c>
      <c r="BI57" s="31" t="s">
        <v>173</v>
      </c>
    </row>
    <row r="58" spans="1:61" ht="14.25" customHeight="1" x14ac:dyDescent="0.3">
      <c r="A58" s="31" t="s">
        <v>412</v>
      </c>
      <c r="B58" s="16" t="s">
        <v>132</v>
      </c>
      <c r="C58" s="40">
        <v>862501978</v>
      </c>
      <c r="D58" s="31">
        <v>442500328</v>
      </c>
      <c r="E58" s="4">
        <v>45407002483</v>
      </c>
      <c r="F58" s="64" t="s">
        <v>79</v>
      </c>
      <c r="G58" s="44" t="s">
        <v>146</v>
      </c>
      <c r="H58" s="71">
        <v>1</v>
      </c>
      <c r="I58" s="7" t="s">
        <v>64</v>
      </c>
      <c r="J58" s="32">
        <v>4142</v>
      </c>
      <c r="K58" s="32">
        <v>4242</v>
      </c>
      <c r="L58" s="31" t="s">
        <v>227</v>
      </c>
      <c r="M58" s="31">
        <v>2602012</v>
      </c>
      <c r="N58" s="4" t="s">
        <v>69</v>
      </c>
      <c r="O58" s="4" t="s">
        <v>416</v>
      </c>
      <c r="P58" s="4" t="s">
        <v>65</v>
      </c>
      <c r="Q58" s="31" t="s">
        <v>78</v>
      </c>
      <c r="R58" s="44" t="s">
        <v>148</v>
      </c>
      <c r="T58" s="4" t="s">
        <v>99</v>
      </c>
      <c r="U58" s="9" t="s">
        <v>427</v>
      </c>
      <c r="V58" s="31" t="s">
        <v>67</v>
      </c>
      <c r="W58" s="4">
        <f t="shared" si="13"/>
        <v>43</v>
      </c>
      <c r="X58" s="10">
        <v>46118</v>
      </c>
      <c r="Y58" s="10">
        <v>46161</v>
      </c>
      <c r="Z58" s="8">
        <v>46161</v>
      </c>
      <c r="AA58" s="31"/>
      <c r="AC58" s="31" t="s">
        <v>68</v>
      </c>
      <c r="AE58" s="4" t="s">
        <v>69</v>
      </c>
      <c r="AI58" s="13">
        <v>46163</v>
      </c>
      <c r="AJ58" s="31" t="s">
        <v>70</v>
      </c>
      <c r="AK58" s="33">
        <v>46163</v>
      </c>
      <c r="AL58" s="7" t="s">
        <v>420</v>
      </c>
      <c r="AN58" s="33">
        <v>46220</v>
      </c>
      <c r="BG58" s="31">
        <v>812600051</v>
      </c>
      <c r="BH58" s="31">
        <v>100426</v>
      </c>
    </row>
    <row r="59" spans="1:61" ht="14.25" customHeight="1" x14ac:dyDescent="0.3">
      <c r="A59" s="31" t="s">
        <v>411</v>
      </c>
      <c r="B59" s="16" t="s">
        <v>169</v>
      </c>
      <c r="C59" s="40">
        <v>862501651</v>
      </c>
      <c r="D59" s="31">
        <v>442500326</v>
      </c>
      <c r="E59" s="4">
        <v>45407002445</v>
      </c>
      <c r="F59" s="64" t="s">
        <v>89</v>
      </c>
      <c r="G59" s="44" t="s">
        <v>170</v>
      </c>
      <c r="H59" s="71">
        <v>1</v>
      </c>
      <c r="I59" s="7" t="s">
        <v>64</v>
      </c>
      <c r="J59" s="32">
        <v>4182</v>
      </c>
      <c r="K59" s="32">
        <v>4282</v>
      </c>
      <c r="L59" s="31" t="s">
        <v>228</v>
      </c>
      <c r="M59" s="81">
        <v>2601046</v>
      </c>
      <c r="N59" s="4" t="s">
        <v>69</v>
      </c>
      <c r="O59" s="4" t="s">
        <v>418</v>
      </c>
      <c r="P59" s="4" t="s">
        <v>65</v>
      </c>
      <c r="Q59" s="31" t="s">
        <v>78</v>
      </c>
      <c r="R59" s="44" t="s">
        <v>226</v>
      </c>
      <c r="T59" s="4" t="s">
        <v>99</v>
      </c>
      <c r="U59" s="9" t="s">
        <v>427</v>
      </c>
      <c r="V59" s="31" t="s">
        <v>67</v>
      </c>
      <c r="W59" s="4">
        <f>_xlfn.DAYS(Z59,X59)</f>
        <v>62</v>
      </c>
      <c r="X59" s="10">
        <v>46058</v>
      </c>
      <c r="Y59" s="10">
        <v>46113</v>
      </c>
      <c r="Z59" s="36">
        <v>46120</v>
      </c>
      <c r="AC59" s="81" t="s">
        <v>152</v>
      </c>
      <c r="AD59" s="13" t="s">
        <v>115</v>
      </c>
      <c r="AE59" s="4" t="s">
        <v>69</v>
      </c>
      <c r="AJ59" s="31" t="s">
        <v>70</v>
      </c>
      <c r="AK59" s="33">
        <v>46121</v>
      </c>
      <c r="AL59" s="7" t="s">
        <v>420</v>
      </c>
      <c r="AN59" s="31" t="s">
        <v>229</v>
      </c>
      <c r="BG59" s="31">
        <v>812600019</v>
      </c>
      <c r="BH59" s="31">
        <v>100437</v>
      </c>
      <c r="BI59" s="31" t="s">
        <v>173</v>
      </c>
    </row>
    <row r="60" spans="1:61" ht="14.25" customHeight="1" x14ac:dyDescent="0.3">
      <c r="A60" s="31" t="s">
        <v>411</v>
      </c>
      <c r="B60" s="16" t="s">
        <v>169</v>
      </c>
      <c r="C60" s="40">
        <v>862501599</v>
      </c>
      <c r="D60" s="31">
        <v>442500325</v>
      </c>
      <c r="E60" s="4">
        <v>45407002460</v>
      </c>
      <c r="F60" s="64" t="s">
        <v>89</v>
      </c>
      <c r="G60" s="44" t="s">
        <v>230</v>
      </c>
      <c r="H60" s="71">
        <v>1</v>
      </c>
      <c r="I60" s="7" t="s">
        <v>64</v>
      </c>
      <c r="J60" s="32">
        <v>3883</v>
      </c>
      <c r="K60" s="32">
        <v>3983</v>
      </c>
      <c r="L60" s="31" t="s">
        <v>231</v>
      </c>
      <c r="M60" s="31">
        <v>2601050</v>
      </c>
      <c r="N60" s="4" t="s">
        <v>69</v>
      </c>
      <c r="O60" s="4" t="s">
        <v>418</v>
      </c>
      <c r="P60" s="4" t="s">
        <v>65</v>
      </c>
      <c r="Q60" s="31" t="s">
        <v>78</v>
      </c>
      <c r="R60" s="44" t="s">
        <v>232</v>
      </c>
      <c r="S60" s="4">
        <v>1</v>
      </c>
      <c r="T60" s="4" t="s">
        <v>99</v>
      </c>
      <c r="U60" s="9" t="s">
        <v>427</v>
      </c>
      <c r="V60" s="31" t="s">
        <v>67</v>
      </c>
      <c r="W60" s="4">
        <f t="shared" ref="W60:W68" si="14">_xlfn.DAYS(Z60,X60)</f>
        <v>68</v>
      </c>
      <c r="X60" s="10">
        <v>46052</v>
      </c>
      <c r="Y60" s="10">
        <v>46094</v>
      </c>
      <c r="Z60" s="36">
        <v>46120</v>
      </c>
      <c r="AC60" s="31" t="s">
        <v>68</v>
      </c>
      <c r="AD60" s="13" t="s">
        <v>115</v>
      </c>
      <c r="AE60" s="4" t="s">
        <v>69</v>
      </c>
      <c r="AJ60" s="31" t="s">
        <v>70</v>
      </c>
      <c r="AK60" s="33">
        <v>46121</v>
      </c>
      <c r="AL60" s="7" t="s">
        <v>420</v>
      </c>
      <c r="AN60" s="33">
        <v>46198</v>
      </c>
      <c r="AP60" s="44"/>
      <c r="BG60" s="31">
        <v>812600011</v>
      </c>
      <c r="BH60" s="31">
        <v>100402</v>
      </c>
    </row>
    <row r="61" spans="1:61" ht="14.25" customHeight="1" x14ac:dyDescent="0.3">
      <c r="A61" s="31" t="s">
        <v>411</v>
      </c>
      <c r="B61" s="16" t="s">
        <v>169</v>
      </c>
      <c r="C61" s="40">
        <v>862501591</v>
      </c>
      <c r="D61" s="31">
        <v>442500325</v>
      </c>
      <c r="E61" s="4">
        <v>45407002460</v>
      </c>
      <c r="F61" s="64" t="s">
        <v>89</v>
      </c>
      <c r="G61" s="44" t="s">
        <v>230</v>
      </c>
      <c r="H61" s="71">
        <v>1</v>
      </c>
      <c r="I61" s="7" t="s">
        <v>64</v>
      </c>
      <c r="J61" s="32">
        <v>3883</v>
      </c>
      <c r="K61" s="32">
        <v>3983</v>
      </c>
      <c r="L61" s="31" t="s">
        <v>233</v>
      </c>
      <c r="M61" s="31">
        <v>2601051</v>
      </c>
      <c r="N61" s="4" t="s">
        <v>69</v>
      </c>
      <c r="O61" s="4" t="s">
        <v>418</v>
      </c>
      <c r="P61" s="4" t="s">
        <v>65</v>
      </c>
      <c r="Q61" s="31" t="s">
        <v>78</v>
      </c>
      <c r="R61" s="44" t="s">
        <v>234</v>
      </c>
      <c r="S61" s="4">
        <v>1</v>
      </c>
      <c r="T61" s="4" t="s">
        <v>99</v>
      </c>
      <c r="U61" s="9" t="s">
        <v>427</v>
      </c>
      <c r="V61" s="31" t="s">
        <v>67</v>
      </c>
      <c r="W61" s="4">
        <f t="shared" si="14"/>
        <v>68</v>
      </c>
      <c r="X61" s="10">
        <v>46052</v>
      </c>
      <c r="Y61" s="10">
        <v>46094</v>
      </c>
      <c r="Z61" s="36">
        <v>46120</v>
      </c>
      <c r="AC61" s="31" t="s">
        <v>152</v>
      </c>
      <c r="AD61" s="13" t="s">
        <v>115</v>
      </c>
      <c r="AE61" s="4" t="s">
        <v>69</v>
      </c>
      <c r="AJ61" s="31" t="s">
        <v>70</v>
      </c>
      <c r="AK61" s="33">
        <v>46121</v>
      </c>
      <c r="AL61" s="7" t="s">
        <v>420</v>
      </c>
      <c r="BG61" s="31">
        <v>812600012</v>
      </c>
      <c r="BH61" s="31">
        <v>100402</v>
      </c>
    </row>
    <row r="62" spans="1:61" ht="14.25" customHeight="1" x14ac:dyDescent="0.3">
      <c r="A62" s="31" t="s">
        <v>411</v>
      </c>
      <c r="B62" s="16" t="s">
        <v>169</v>
      </c>
      <c r="C62" s="40">
        <v>862501591</v>
      </c>
      <c r="D62" s="31">
        <v>442500325</v>
      </c>
      <c r="E62" s="4">
        <v>45407002460</v>
      </c>
      <c r="F62" s="64" t="s">
        <v>89</v>
      </c>
      <c r="G62" s="44" t="s">
        <v>230</v>
      </c>
      <c r="H62" s="71">
        <v>1</v>
      </c>
      <c r="I62" s="7" t="s">
        <v>64</v>
      </c>
      <c r="J62" s="32">
        <v>3883</v>
      </c>
      <c r="K62" s="32">
        <v>3983</v>
      </c>
      <c r="L62" s="31" t="s">
        <v>235</v>
      </c>
      <c r="M62" s="31">
        <v>2601052</v>
      </c>
      <c r="N62" s="4" t="s">
        <v>69</v>
      </c>
      <c r="O62" s="4" t="s">
        <v>418</v>
      </c>
      <c r="P62" s="4" t="s">
        <v>65</v>
      </c>
      <c r="Q62" s="31" t="s">
        <v>78</v>
      </c>
      <c r="R62" s="44" t="s">
        <v>234</v>
      </c>
      <c r="T62" s="4" t="s">
        <v>99</v>
      </c>
      <c r="U62" s="9" t="s">
        <v>427</v>
      </c>
      <c r="V62" s="31" t="s">
        <v>67</v>
      </c>
      <c r="W62" s="4">
        <f t="shared" si="14"/>
        <v>68</v>
      </c>
      <c r="X62" s="10">
        <v>46052</v>
      </c>
      <c r="Y62" s="10">
        <v>46094</v>
      </c>
      <c r="Z62" s="36">
        <v>46120</v>
      </c>
      <c r="AC62" s="31" t="s">
        <v>152</v>
      </c>
      <c r="AD62" s="13" t="s">
        <v>115</v>
      </c>
      <c r="AE62" s="4" t="s">
        <v>69</v>
      </c>
      <c r="AJ62" s="31" t="s">
        <v>70</v>
      </c>
      <c r="AK62" s="33">
        <v>46121</v>
      </c>
      <c r="AL62" s="7" t="s">
        <v>420</v>
      </c>
      <c r="BG62" s="31">
        <v>812600012</v>
      </c>
      <c r="BH62" s="31">
        <v>100402</v>
      </c>
    </row>
    <row r="63" spans="1:61" ht="14.25" customHeight="1" x14ac:dyDescent="0.3">
      <c r="A63" s="31" t="s">
        <v>411</v>
      </c>
      <c r="B63" s="16" t="s">
        <v>169</v>
      </c>
      <c r="C63" s="40">
        <v>862501599</v>
      </c>
      <c r="D63" s="31">
        <v>442500325</v>
      </c>
      <c r="E63" s="4">
        <v>45407002460</v>
      </c>
      <c r="F63" s="64" t="s">
        <v>89</v>
      </c>
      <c r="G63" s="44" t="s">
        <v>230</v>
      </c>
      <c r="H63" s="71">
        <v>1</v>
      </c>
      <c r="I63" s="7" t="s">
        <v>64</v>
      </c>
      <c r="J63" s="32">
        <v>3883</v>
      </c>
      <c r="K63" s="32">
        <v>3983</v>
      </c>
      <c r="L63" s="31" t="s">
        <v>236</v>
      </c>
      <c r="M63" s="31">
        <v>2601053</v>
      </c>
      <c r="N63" s="4" t="s">
        <v>69</v>
      </c>
      <c r="O63" s="4" t="s">
        <v>418</v>
      </c>
      <c r="P63" s="4" t="s">
        <v>65</v>
      </c>
      <c r="Q63" s="31" t="s">
        <v>78</v>
      </c>
      <c r="R63" s="44" t="s">
        <v>232</v>
      </c>
      <c r="T63" s="4" t="s">
        <v>99</v>
      </c>
      <c r="U63" s="9" t="s">
        <v>427</v>
      </c>
      <c r="V63" s="31" t="s">
        <v>67</v>
      </c>
      <c r="W63" s="4">
        <f t="shared" si="14"/>
        <v>68</v>
      </c>
      <c r="X63" s="10">
        <v>46052</v>
      </c>
      <c r="Y63" s="10">
        <v>46094</v>
      </c>
      <c r="Z63" s="36">
        <v>46120</v>
      </c>
      <c r="AC63" s="31" t="s">
        <v>152</v>
      </c>
      <c r="AD63" s="13" t="s">
        <v>115</v>
      </c>
      <c r="AE63" s="4" t="s">
        <v>69</v>
      </c>
      <c r="AJ63" s="31" t="s">
        <v>70</v>
      </c>
      <c r="AK63" s="33">
        <v>46121</v>
      </c>
      <c r="AL63" s="7" t="s">
        <v>420</v>
      </c>
      <c r="AP63" s="44"/>
      <c r="BG63" s="31">
        <v>812600011</v>
      </c>
      <c r="BH63" s="31">
        <v>100402</v>
      </c>
    </row>
    <row r="64" spans="1:61" ht="14.25" customHeight="1" x14ac:dyDescent="0.3">
      <c r="A64" s="31" t="s">
        <v>411</v>
      </c>
      <c r="B64" s="16" t="s">
        <v>169</v>
      </c>
      <c r="C64" s="40">
        <v>862501636</v>
      </c>
      <c r="D64" s="31">
        <v>442500325</v>
      </c>
      <c r="E64" s="4">
        <v>45407002460</v>
      </c>
      <c r="F64" s="64" t="s">
        <v>89</v>
      </c>
      <c r="G64" s="44" t="s">
        <v>230</v>
      </c>
      <c r="H64" s="71">
        <v>1</v>
      </c>
      <c r="I64" s="7" t="s">
        <v>64</v>
      </c>
      <c r="J64" s="32">
        <v>3883</v>
      </c>
      <c r="K64" s="32">
        <v>3983</v>
      </c>
      <c r="L64" s="31" t="s">
        <v>238</v>
      </c>
      <c r="M64" s="31">
        <v>2601055</v>
      </c>
      <c r="N64" s="4" t="s">
        <v>69</v>
      </c>
      <c r="O64" s="4" t="s">
        <v>418</v>
      </c>
      <c r="P64" s="4" t="s">
        <v>65</v>
      </c>
      <c r="Q64" s="31" t="s">
        <v>78</v>
      </c>
      <c r="R64" s="44" t="s">
        <v>237</v>
      </c>
      <c r="T64" s="4" t="s">
        <v>99</v>
      </c>
      <c r="U64" s="9" t="s">
        <v>427</v>
      </c>
      <c r="V64" s="31" t="s">
        <v>67</v>
      </c>
      <c r="W64" s="4">
        <f t="shared" si="14"/>
        <v>62</v>
      </c>
      <c r="X64" s="10">
        <v>46058</v>
      </c>
      <c r="Y64" s="10">
        <v>46113</v>
      </c>
      <c r="Z64" s="36">
        <v>46120</v>
      </c>
      <c r="AC64" s="31" t="s">
        <v>68</v>
      </c>
      <c r="AD64" s="13" t="s">
        <v>115</v>
      </c>
      <c r="AE64" s="4" t="s">
        <v>69</v>
      </c>
      <c r="AJ64" s="31" t="s">
        <v>70</v>
      </c>
      <c r="AK64" s="33">
        <v>46121</v>
      </c>
      <c r="AL64" s="7" t="s">
        <v>420</v>
      </c>
      <c r="AN64" s="33">
        <v>46182</v>
      </c>
      <c r="AP64" s="44"/>
      <c r="BG64" s="31">
        <v>812600015</v>
      </c>
      <c r="BH64" s="31">
        <v>100402</v>
      </c>
    </row>
    <row r="65" spans="1:60" ht="14.25" customHeight="1" x14ac:dyDescent="0.3">
      <c r="A65" s="31" t="s">
        <v>411</v>
      </c>
      <c r="B65" s="16" t="s">
        <v>169</v>
      </c>
      <c r="C65" s="40">
        <v>862501637</v>
      </c>
      <c r="D65" s="31">
        <v>442500325</v>
      </c>
      <c r="E65" s="4">
        <v>45407002460</v>
      </c>
      <c r="F65" s="64" t="s">
        <v>89</v>
      </c>
      <c r="G65" s="44" t="s">
        <v>230</v>
      </c>
      <c r="H65" s="71">
        <v>1</v>
      </c>
      <c r="I65" s="7" t="s">
        <v>64</v>
      </c>
      <c r="J65" s="32">
        <v>3883</v>
      </c>
      <c r="K65" s="32">
        <v>3983</v>
      </c>
      <c r="L65" s="31" t="s">
        <v>239</v>
      </c>
      <c r="M65" s="31">
        <v>2601056</v>
      </c>
      <c r="N65" s="4" t="s">
        <v>69</v>
      </c>
      <c r="O65" s="4" t="s">
        <v>418</v>
      </c>
      <c r="P65" s="4" t="s">
        <v>65</v>
      </c>
      <c r="Q65" s="31" t="s">
        <v>78</v>
      </c>
      <c r="R65" s="44" t="s">
        <v>224</v>
      </c>
      <c r="S65" s="4">
        <v>1</v>
      </c>
      <c r="T65" s="4" t="s">
        <v>99</v>
      </c>
      <c r="U65" s="9" t="s">
        <v>427</v>
      </c>
      <c r="V65" s="31" t="s">
        <v>67</v>
      </c>
      <c r="W65" s="4">
        <f t="shared" si="14"/>
        <v>62</v>
      </c>
      <c r="X65" s="10">
        <v>46058</v>
      </c>
      <c r="Y65" s="10">
        <v>46113</v>
      </c>
      <c r="Z65" s="36">
        <v>46120</v>
      </c>
      <c r="AC65" s="31" t="s">
        <v>152</v>
      </c>
      <c r="AD65" s="13" t="s">
        <v>115</v>
      </c>
      <c r="AE65" s="4" t="s">
        <v>69</v>
      </c>
      <c r="AJ65" s="31" t="s">
        <v>70</v>
      </c>
      <c r="AK65" s="33">
        <v>46121</v>
      </c>
      <c r="AL65" s="7" t="s">
        <v>420</v>
      </c>
      <c r="AP65" s="44"/>
      <c r="BG65" s="31">
        <v>812600014</v>
      </c>
      <c r="BH65" s="31">
        <v>100402</v>
      </c>
    </row>
    <row r="66" spans="1:60" ht="14.25" customHeight="1" x14ac:dyDescent="0.3">
      <c r="A66" s="31" t="s">
        <v>411</v>
      </c>
      <c r="C66" s="40">
        <v>862501641</v>
      </c>
      <c r="D66" s="31">
        <v>462500717</v>
      </c>
      <c r="E66" s="4">
        <v>45407002453</v>
      </c>
      <c r="F66" s="64" t="s">
        <v>116</v>
      </c>
      <c r="G66" s="44" t="s">
        <v>222</v>
      </c>
      <c r="H66" s="71">
        <v>13</v>
      </c>
      <c r="I66" s="7" t="s">
        <v>64</v>
      </c>
      <c r="J66" s="32">
        <v>143</v>
      </c>
      <c r="K66" s="32">
        <v>153</v>
      </c>
      <c r="L66" s="31" t="s">
        <v>240</v>
      </c>
      <c r="M66" s="31" t="s">
        <v>72</v>
      </c>
      <c r="N66" s="4" t="s">
        <v>69</v>
      </c>
      <c r="O66" s="4" t="s">
        <v>418</v>
      </c>
      <c r="P66" s="4" t="s">
        <v>65</v>
      </c>
      <c r="Q66" s="31" t="s">
        <v>78</v>
      </c>
      <c r="R66" s="44" t="s">
        <v>172</v>
      </c>
      <c r="T66" s="4" t="s">
        <v>99</v>
      </c>
      <c r="U66" s="9" t="s">
        <v>427</v>
      </c>
      <c r="V66" s="31" t="s">
        <v>67</v>
      </c>
      <c r="W66" s="4">
        <f t="shared" si="14"/>
        <v>62</v>
      </c>
      <c r="X66" s="10">
        <v>46058</v>
      </c>
      <c r="Y66" s="10">
        <v>46113</v>
      </c>
      <c r="Z66" s="36">
        <v>46120</v>
      </c>
      <c r="AC66" s="31" t="s">
        <v>152</v>
      </c>
      <c r="AD66" s="13" t="s">
        <v>115</v>
      </c>
      <c r="AE66" s="4" t="s">
        <v>69</v>
      </c>
      <c r="AJ66" s="31" t="s">
        <v>70</v>
      </c>
      <c r="AK66" s="33">
        <v>46121</v>
      </c>
      <c r="AL66" s="7" t="s">
        <v>420</v>
      </c>
    </row>
    <row r="67" spans="1:60" ht="14.25" customHeight="1" x14ac:dyDescent="0.3">
      <c r="A67" s="31" t="s">
        <v>411</v>
      </c>
      <c r="B67" s="16" t="s">
        <v>169</v>
      </c>
      <c r="C67" s="40">
        <v>862501637</v>
      </c>
      <c r="D67" s="31">
        <v>442500325</v>
      </c>
      <c r="E67" s="4">
        <v>45407002460</v>
      </c>
      <c r="F67" s="64" t="s">
        <v>89</v>
      </c>
      <c r="G67" s="44" t="s">
        <v>230</v>
      </c>
      <c r="H67" s="71">
        <v>1</v>
      </c>
      <c r="I67" s="7" t="s">
        <v>64</v>
      </c>
      <c r="J67" s="32">
        <v>3883</v>
      </c>
      <c r="K67" s="32">
        <v>3983</v>
      </c>
      <c r="L67" s="31" t="s">
        <v>241</v>
      </c>
      <c r="M67" s="31">
        <v>2601057</v>
      </c>
      <c r="N67" s="4" t="s">
        <v>69</v>
      </c>
      <c r="O67" s="4" t="s">
        <v>418</v>
      </c>
      <c r="P67" s="4" t="s">
        <v>65</v>
      </c>
      <c r="Q67" s="31" t="s">
        <v>78</v>
      </c>
      <c r="R67" s="44" t="s">
        <v>224</v>
      </c>
      <c r="T67" s="4" t="s">
        <v>99</v>
      </c>
      <c r="U67" s="9" t="s">
        <v>427</v>
      </c>
      <c r="V67" s="31" t="s">
        <v>67</v>
      </c>
      <c r="W67" s="4">
        <f t="shared" si="14"/>
        <v>62</v>
      </c>
      <c r="X67" s="10">
        <v>46058</v>
      </c>
      <c r="Y67" s="10">
        <v>46113</v>
      </c>
      <c r="Z67" s="36">
        <v>46120</v>
      </c>
      <c r="AC67" s="31" t="s">
        <v>152</v>
      </c>
      <c r="AD67" s="13" t="s">
        <v>115</v>
      </c>
      <c r="AE67" s="4" t="s">
        <v>69</v>
      </c>
      <c r="AJ67" s="31" t="s">
        <v>70</v>
      </c>
      <c r="AK67" s="33">
        <v>46121</v>
      </c>
      <c r="AL67" s="7" t="s">
        <v>420</v>
      </c>
      <c r="AO67" s="64"/>
      <c r="AP67" s="44"/>
      <c r="AQ67" s="71"/>
      <c r="BG67" s="31">
        <v>812600014</v>
      </c>
      <c r="BH67" s="31">
        <v>100402</v>
      </c>
    </row>
    <row r="68" spans="1:60" ht="14.25" customHeight="1" x14ac:dyDescent="0.3">
      <c r="A68" s="31" t="s">
        <v>411</v>
      </c>
      <c r="B68" s="16" t="s">
        <v>169</v>
      </c>
      <c r="C68" s="40">
        <v>862501649</v>
      </c>
      <c r="D68" s="31">
        <v>442500325</v>
      </c>
      <c r="E68" s="4">
        <v>45407002460</v>
      </c>
      <c r="F68" s="64" t="s">
        <v>89</v>
      </c>
      <c r="G68" s="44" t="s">
        <v>230</v>
      </c>
      <c r="H68" s="71">
        <v>1</v>
      </c>
      <c r="I68" s="7" t="s">
        <v>64</v>
      </c>
      <c r="J68" s="32">
        <v>3883</v>
      </c>
      <c r="K68" s="32">
        <v>3983</v>
      </c>
      <c r="L68" s="31" t="s">
        <v>242</v>
      </c>
      <c r="M68" s="31">
        <v>2601058</v>
      </c>
      <c r="N68" s="4" t="s">
        <v>69</v>
      </c>
      <c r="O68" s="4" t="s">
        <v>418</v>
      </c>
      <c r="P68" s="4" t="s">
        <v>65</v>
      </c>
      <c r="Q68" s="31" t="s">
        <v>78</v>
      </c>
      <c r="R68" s="44" t="s">
        <v>243</v>
      </c>
      <c r="S68" s="4">
        <v>1</v>
      </c>
      <c r="T68" s="4" t="s">
        <v>99</v>
      </c>
      <c r="U68" s="9" t="s">
        <v>427</v>
      </c>
      <c r="V68" s="31" t="s">
        <v>67</v>
      </c>
      <c r="W68" s="4">
        <f t="shared" si="14"/>
        <v>62</v>
      </c>
      <c r="X68" s="10">
        <v>46058</v>
      </c>
      <c r="Y68" s="10">
        <v>46113</v>
      </c>
      <c r="Z68" s="36">
        <v>46120</v>
      </c>
      <c r="AC68" s="31" t="s">
        <v>152</v>
      </c>
      <c r="AD68" s="13" t="s">
        <v>115</v>
      </c>
      <c r="AE68" s="4" t="s">
        <v>69</v>
      </c>
      <c r="AJ68" s="31" t="s">
        <v>70</v>
      </c>
      <c r="AK68" s="33">
        <v>46121</v>
      </c>
      <c r="AL68" s="7" t="s">
        <v>420</v>
      </c>
      <c r="AO68" s="64"/>
      <c r="AP68" s="44"/>
      <c r="AQ68" s="71"/>
      <c r="BG68" s="31">
        <v>812600017</v>
      </c>
      <c r="BH68" s="31">
        <v>100402</v>
      </c>
    </row>
    <row r="69" spans="1:60" ht="14.25" customHeight="1" x14ac:dyDescent="0.3">
      <c r="A69" s="31" t="s">
        <v>411</v>
      </c>
      <c r="B69" s="16" t="s">
        <v>169</v>
      </c>
      <c r="C69" s="40">
        <v>862501717</v>
      </c>
      <c r="D69" s="31">
        <v>442500325</v>
      </c>
      <c r="E69" s="4">
        <v>45407002460</v>
      </c>
      <c r="F69" s="64" t="s">
        <v>89</v>
      </c>
      <c r="G69" s="44" t="s">
        <v>230</v>
      </c>
      <c r="H69" s="71">
        <v>1</v>
      </c>
      <c r="I69" s="7" t="s">
        <v>64</v>
      </c>
      <c r="J69" s="32">
        <v>3883</v>
      </c>
      <c r="K69" s="32">
        <v>3983</v>
      </c>
      <c r="L69" s="31" t="s">
        <v>244</v>
      </c>
      <c r="M69" s="31">
        <v>2601060</v>
      </c>
      <c r="N69" s="4" t="s">
        <v>69</v>
      </c>
      <c r="O69" s="4" t="s">
        <v>418</v>
      </c>
      <c r="P69" s="4" t="s">
        <v>65</v>
      </c>
      <c r="Q69" s="31" t="s">
        <v>78</v>
      </c>
      <c r="R69" s="44" t="s">
        <v>245</v>
      </c>
      <c r="S69" s="4">
        <v>1</v>
      </c>
      <c r="T69" s="4" t="s">
        <v>108</v>
      </c>
      <c r="U69" s="9" t="s">
        <v>427</v>
      </c>
      <c r="V69" s="31" t="s">
        <v>67</v>
      </c>
      <c r="W69" s="4">
        <f>_xlfn.DAYS(Z69,X69)</f>
        <v>47</v>
      </c>
      <c r="X69" s="10">
        <v>46073</v>
      </c>
      <c r="Y69" s="10">
        <v>46121</v>
      </c>
      <c r="Z69" s="36">
        <v>46120</v>
      </c>
      <c r="AC69" s="31" t="s">
        <v>152</v>
      </c>
      <c r="AD69" s="13" t="s">
        <v>115</v>
      </c>
      <c r="AE69" s="4" t="s">
        <v>69</v>
      </c>
      <c r="AJ69" s="31" t="s">
        <v>70</v>
      </c>
      <c r="AK69" s="33">
        <v>46121</v>
      </c>
      <c r="AL69" s="7" t="s">
        <v>420</v>
      </c>
      <c r="AP69" s="90"/>
      <c r="BG69" s="31">
        <v>812600022</v>
      </c>
      <c r="BH69" s="31">
        <v>100402</v>
      </c>
    </row>
    <row r="70" spans="1:60" ht="14.25" customHeight="1" x14ac:dyDescent="0.3">
      <c r="A70" s="31" t="s">
        <v>413</v>
      </c>
      <c r="B70" s="16" t="s">
        <v>95</v>
      </c>
      <c r="C70" s="40">
        <v>862501790</v>
      </c>
      <c r="D70" s="31">
        <v>442500333</v>
      </c>
      <c r="E70" s="4">
        <v>45407002456</v>
      </c>
      <c r="F70" s="64" t="s">
        <v>89</v>
      </c>
      <c r="G70" s="44" t="s">
        <v>96</v>
      </c>
      <c r="H70" s="71">
        <v>1</v>
      </c>
      <c r="I70" s="7" t="s">
        <v>64</v>
      </c>
      <c r="J70" s="32">
        <v>3639</v>
      </c>
      <c r="K70" s="32">
        <v>3739</v>
      </c>
      <c r="L70" s="31" t="s">
        <v>246</v>
      </c>
      <c r="M70" s="31">
        <v>2602034</v>
      </c>
      <c r="N70" s="4" t="s">
        <v>69</v>
      </c>
      <c r="O70" s="4" t="s">
        <v>418</v>
      </c>
      <c r="P70" s="4" t="s">
        <v>65</v>
      </c>
      <c r="Q70" s="31" t="s">
        <v>66</v>
      </c>
      <c r="R70" s="44" t="s">
        <v>247</v>
      </c>
      <c r="S70" s="4">
        <v>1</v>
      </c>
      <c r="T70" s="4" t="s">
        <v>99</v>
      </c>
      <c r="U70" s="9" t="s">
        <v>427</v>
      </c>
      <c r="V70" s="31" t="s">
        <v>67</v>
      </c>
      <c r="W70" s="4">
        <f t="shared" ref="W70:W81" si="15">_xlfn.DAYS(Z70,X70)</f>
        <v>38</v>
      </c>
      <c r="X70" s="10">
        <v>46089</v>
      </c>
      <c r="Y70" s="10">
        <v>46135</v>
      </c>
      <c r="Z70" s="8">
        <v>46127</v>
      </c>
      <c r="AC70" s="31" t="s">
        <v>152</v>
      </c>
      <c r="AD70" s="4" t="s">
        <v>101</v>
      </c>
      <c r="AE70" s="4" t="s">
        <v>69</v>
      </c>
      <c r="AJ70" s="31" t="s">
        <v>70</v>
      </c>
      <c r="AK70" s="33">
        <v>46127</v>
      </c>
      <c r="AL70" s="4" t="s">
        <v>419</v>
      </c>
      <c r="BG70" s="65">
        <v>812600036</v>
      </c>
      <c r="BH70" s="65">
        <v>100411</v>
      </c>
    </row>
    <row r="71" spans="1:60" ht="14.25" customHeight="1" x14ac:dyDescent="0.3">
      <c r="A71" s="31" t="s">
        <v>413</v>
      </c>
      <c r="B71" s="16" t="s">
        <v>95</v>
      </c>
      <c r="C71" s="40">
        <v>862501790</v>
      </c>
      <c r="D71" s="31">
        <v>442500333</v>
      </c>
      <c r="E71" s="4">
        <v>45407002456</v>
      </c>
      <c r="F71" s="64" t="s">
        <v>89</v>
      </c>
      <c r="G71" s="44" t="s">
        <v>96</v>
      </c>
      <c r="H71" s="71">
        <v>1</v>
      </c>
      <c r="I71" s="7" t="s">
        <v>64</v>
      </c>
      <c r="J71" s="32">
        <v>3639</v>
      </c>
      <c r="K71" s="32">
        <v>3739</v>
      </c>
      <c r="L71" s="31" t="s">
        <v>248</v>
      </c>
      <c r="M71" s="31">
        <v>2602035</v>
      </c>
      <c r="N71" s="4" t="s">
        <v>69</v>
      </c>
      <c r="O71" s="4" t="s">
        <v>418</v>
      </c>
      <c r="P71" s="4" t="s">
        <v>65</v>
      </c>
      <c r="Q71" s="31" t="s">
        <v>66</v>
      </c>
      <c r="R71" s="44" t="s">
        <v>247</v>
      </c>
      <c r="T71" s="4" t="s">
        <v>99</v>
      </c>
      <c r="U71" s="9" t="s">
        <v>427</v>
      </c>
      <c r="V71" s="31" t="s">
        <v>67</v>
      </c>
      <c r="W71" s="4">
        <f t="shared" si="15"/>
        <v>38</v>
      </c>
      <c r="X71" s="10">
        <v>46089</v>
      </c>
      <c r="Y71" s="10">
        <v>46135</v>
      </c>
      <c r="Z71" s="8">
        <v>46127</v>
      </c>
      <c r="AC71" s="31" t="s">
        <v>152</v>
      </c>
      <c r="AD71" s="4" t="s">
        <v>101</v>
      </c>
      <c r="AE71" s="4" t="s">
        <v>69</v>
      </c>
      <c r="AJ71" s="31" t="s">
        <v>70</v>
      </c>
      <c r="AK71" s="33">
        <v>46127</v>
      </c>
      <c r="AL71" s="4" t="s">
        <v>419</v>
      </c>
      <c r="BG71" s="65">
        <v>812600036</v>
      </c>
      <c r="BH71" s="65">
        <v>100411</v>
      </c>
    </row>
    <row r="72" spans="1:60" ht="14.25" customHeight="1" x14ac:dyDescent="0.3">
      <c r="A72" s="31" t="s">
        <v>413</v>
      </c>
      <c r="B72" s="16" t="s">
        <v>95</v>
      </c>
      <c r="C72" s="40">
        <v>862501802</v>
      </c>
      <c r="D72" s="31">
        <v>442500333</v>
      </c>
      <c r="E72" s="4">
        <v>45407002456</v>
      </c>
      <c r="F72" s="64" t="s">
        <v>89</v>
      </c>
      <c r="G72" s="44" t="s">
        <v>96</v>
      </c>
      <c r="H72" s="71">
        <v>1</v>
      </c>
      <c r="I72" s="7" t="s">
        <v>64</v>
      </c>
      <c r="J72" s="32">
        <v>3639</v>
      </c>
      <c r="K72" s="32">
        <v>3739</v>
      </c>
      <c r="L72" s="31" t="s">
        <v>249</v>
      </c>
      <c r="M72" s="31">
        <v>2602036</v>
      </c>
      <c r="N72" s="4" t="s">
        <v>69</v>
      </c>
      <c r="O72" s="4" t="s">
        <v>418</v>
      </c>
      <c r="P72" s="4" t="s">
        <v>65</v>
      </c>
      <c r="Q72" s="31" t="s">
        <v>66</v>
      </c>
      <c r="R72" s="44" t="s">
        <v>250</v>
      </c>
      <c r="S72" s="4">
        <v>1</v>
      </c>
      <c r="T72" s="4" t="s">
        <v>108</v>
      </c>
      <c r="U72" s="9" t="s">
        <v>427</v>
      </c>
      <c r="V72" s="31" t="s">
        <v>67</v>
      </c>
      <c r="W72" s="4">
        <f t="shared" si="15"/>
        <v>38</v>
      </c>
      <c r="X72" s="10">
        <v>46089</v>
      </c>
      <c r="Y72" s="10">
        <v>46135</v>
      </c>
      <c r="Z72" s="8">
        <v>46127</v>
      </c>
      <c r="AC72" s="31" t="s">
        <v>152</v>
      </c>
      <c r="AD72" s="4" t="s">
        <v>101</v>
      </c>
      <c r="AE72" s="4" t="s">
        <v>69</v>
      </c>
      <c r="AJ72" s="31" t="s">
        <v>70</v>
      </c>
      <c r="AK72" s="33">
        <v>46127</v>
      </c>
      <c r="AL72" s="4" t="s">
        <v>419</v>
      </c>
      <c r="BG72" s="65">
        <v>812600028</v>
      </c>
      <c r="BH72" s="65">
        <v>100411</v>
      </c>
    </row>
    <row r="73" spans="1:60" ht="14.25" customHeight="1" x14ac:dyDescent="0.3">
      <c r="A73" s="31" t="s">
        <v>413</v>
      </c>
      <c r="B73" s="16" t="s">
        <v>95</v>
      </c>
      <c r="C73" s="40">
        <v>862501770</v>
      </c>
      <c r="D73" s="31">
        <v>442500333</v>
      </c>
      <c r="E73" s="4">
        <v>45407002456</v>
      </c>
      <c r="F73" s="64" t="s">
        <v>89</v>
      </c>
      <c r="G73" s="44" t="s">
        <v>96</v>
      </c>
      <c r="H73" s="71">
        <v>1</v>
      </c>
      <c r="I73" s="7" t="s">
        <v>64</v>
      </c>
      <c r="J73" s="32">
        <v>3639</v>
      </c>
      <c r="K73" s="32">
        <v>3739</v>
      </c>
      <c r="L73" s="31" t="s">
        <v>251</v>
      </c>
      <c r="M73" s="31">
        <v>2602030</v>
      </c>
      <c r="N73" s="4" t="s">
        <v>69</v>
      </c>
      <c r="O73" s="4" t="s">
        <v>418</v>
      </c>
      <c r="P73" s="4" t="s">
        <v>65</v>
      </c>
      <c r="Q73" s="31" t="s">
        <v>66</v>
      </c>
      <c r="R73" s="44" t="s">
        <v>252</v>
      </c>
      <c r="S73" s="4">
        <v>1</v>
      </c>
      <c r="T73" s="4" t="s">
        <v>99</v>
      </c>
      <c r="U73" s="9" t="s">
        <v>427</v>
      </c>
      <c r="V73" s="31" t="s">
        <v>67</v>
      </c>
      <c r="W73" s="4">
        <f t="shared" si="15"/>
        <v>38</v>
      </c>
      <c r="X73" s="10">
        <v>46089</v>
      </c>
      <c r="Y73" s="10">
        <v>46135</v>
      </c>
      <c r="Z73" s="8">
        <v>46127</v>
      </c>
      <c r="AC73" s="31" t="s">
        <v>152</v>
      </c>
      <c r="AD73" s="4" t="s">
        <v>101</v>
      </c>
      <c r="AE73" s="4" t="s">
        <v>69</v>
      </c>
      <c r="AJ73" s="31" t="s">
        <v>70</v>
      </c>
      <c r="AK73" s="33">
        <v>46127</v>
      </c>
      <c r="AL73" s="4" t="s">
        <v>419</v>
      </c>
      <c r="BG73" s="65">
        <v>812600037</v>
      </c>
      <c r="BH73" s="65">
        <v>100411</v>
      </c>
    </row>
    <row r="74" spans="1:60" ht="14.25" customHeight="1" x14ac:dyDescent="0.3">
      <c r="A74" s="31" t="s">
        <v>413</v>
      </c>
      <c r="B74" s="16" t="s">
        <v>95</v>
      </c>
      <c r="C74" s="40">
        <v>862501770</v>
      </c>
      <c r="D74" s="31">
        <v>442500333</v>
      </c>
      <c r="E74" s="4">
        <v>45407002456</v>
      </c>
      <c r="F74" s="64" t="s">
        <v>89</v>
      </c>
      <c r="G74" s="44" t="s">
        <v>96</v>
      </c>
      <c r="H74" s="71">
        <v>1</v>
      </c>
      <c r="I74" s="7" t="s">
        <v>64</v>
      </c>
      <c r="J74" s="32">
        <v>3639</v>
      </c>
      <c r="K74" s="32">
        <v>3739</v>
      </c>
      <c r="L74" s="31" t="s">
        <v>253</v>
      </c>
      <c r="M74" s="31">
        <v>2602031</v>
      </c>
      <c r="N74" s="4" t="s">
        <v>69</v>
      </c>
      <c r="O74" s="4" t="s">
        <v>418</v>
      </c>
      <c r="P74" s="4" t="s">
        <v>65</v>
      </c>
      <c r="Q74" s="31" t="s">
        <v>66</v>
      </c>
      <c r="R74" s="44" t="s">
        <v>252</v>
      </c>
      <c r="T74" s="4" t="s">
        <v>99</v>
      </c>
      <c r="U74" s="9" t="s">
        <v>427</v>
      </c>
      <c r="V74" s="31" t="s">
        <v>67</v>
      </c>
      <c r="W74" s="4">
        <f t="shared" si="15"/>
        <v>38</v>
      </c>
      <c r="X74" s="10">
        <v>46089</v>
      </c>
      <c r="Y74" s="10">
        <v>46135</v>
      </c>
      <c r="Z74" s="8">
        <v>46127</v>
      </c>
      <c r="AC74" s="31" t="s">
        <v>152</v>
      </c>
      <c r="AD74" s="4" t="s">
        <v>101</v>
      </c>
      <c r="AE74" s="4" t="s">
        <v>69</v>
      </c>
      <c r="AJ74" s="31" t="s">
        <v>70</v>
      </c>
      <c r="AK74" s="33">
        <v>46127</v>
      </c>
      <c r="AL74" s="4" t="s">
        <v>419</v>
      </c>
      <c r="BG74" s="65">
        <v>812600037</v>
      </c>
      <c r="BH74" s="65">
        <v>100411</v>
      </c>
    </row>
    <row r="75" spans="1:60" ht="14.25" customHeight="1" x14ac:dyDescent="0.3">
      <c r="A75" s="31" t="s">
        <v>413</v>
      </c>
      <c r="B75" s="16" t="s">
        <v>95</v>
      </c>
      <c r="C75" s="40">
        <v>862501623</v>
      </c>
      <c r="D75" s="31">
        <v>442500334</v>
      </c>
      <c r="E75" s="4">
        <v>45407002457</v>
      </c>
      <c r="F75" s="31" t="s">
        <v>89</v>
      </c>
      <c r="G75" s="31" t="s">
        <v>189</v>
      </c>
      <c r="H75" s="31">
        <v>1</v>
      </c>
      <c r="I75" s="7" t="s">
        <v>64</v>
      </c>
      <c r="J75" s="32">
        <v>2976</v>
      </c>
      <c r="K75" s="32">
        <v>3076</v>
      </c>
      <c r="L75" s="31" t="s">
        <v>254</v>
      </c>
      <c r="M75" s="31">
        <v>2602051</v>
      </c>
      <c r="N75" s="4" t="s">
        <v>69</v>
      </c>
      <c r="O75" s="4" t="s">
        <v>418</v>
      </c>
      <c r="P75" s="4" t="s">
        <v>65</v>
      </c>
      <c r="Q75" s="87" t="s">
        <v>81</v>
      </c>
      <c r="R75" s="4" t="s">
        <v>255</v>
      </c>
      <c r="T75" s="4" t="s">
        <v>163</v>
      </c>
      <c r="U75" s="9" t="s">
        <v>427</v>
      </c>
      <c r="V75" s="31" t="s">
        <v>67</v>
      </c>
      <c r="W75" s="4">
        <f t="shared" si="15"/>
        <v>47</v>
      </c>
      <c r="X75" s="85">
        <v>46058</v>
      </c>
      <c r="Y75" s="10">
        <v>46093</v>
      </c>
      <c r="Z75" s="8">
        <v>46105</v>
      </c>
      <c r="AC75" s="31" t="s">
        <v>68</v>
      </c>
      <c r="AE75" s="4" t="s">
        <v>69</v>
      </c>
      <c r="AJ75" s="31" t="s">
        <v>70</v>
      </c>
      <c r="AK75" s="33">
        <v>46105</v>
      </c>
      <c r="AL75" s="31" t="s">
        <v>421</v>
      </c>
      <c r="AM75" s="72"/>
      <c r="AN75" s="33">
        <v>46183</v>
      </c>
      <c r="AT75" s="31" t="s">
        <v>192</v>
      </c>
      <c r="BG75" s="31">
        <v>812500122</v>
      </c>
      <c r="BH75" s="31">
        <v>100382</v>
      </c>
    </row>
    <row r="76" spans="1:60" ht="14.25" customHeight="1" x14ac:dyDescent="0.3">
      <c r="A76" s="31" t="s">
        <v>415</v>
      </c>
      <c r="C76" s="40">
        <v>862500548</v>
      </c>
      <c r="D76" s="31">
        <v>442500040</v>
      </c>
      <c r="E76" s="4">
        <v>45503000572</v>
      </c>
      <c r="F76" s="64" t="s">
        <v>103</v>
      </c>
      <c r="G76" s="44" t="s">
        <v>150</v>
      </c>
      <c r="H76" s="71">
        <v>1</v>
      </c>
      <c r="I76" s="7" t="s">
        <v>64</v>
      </c>
      <c r="J76" s="32">
        <v>1262</v>
      </c>
      <c r="K76" s="32">
        <v>1282</v>
      </c>
      <c r="L76" s="31" t="s">
        <v>256</v>
      </c>
      <c r="N76" s="4" t="s">
        <v>69</v>
      </c>
      <c r="O76" s="4" t="s">
        <v>417</v>
      </c>
      <c r="P76" s="4" t="s">
        <v>65</v>
      </c>
      <c r="Q76" s="31" t="s">
        <v>81</v>
      </c>
      <c r="R76" s="44" t="s">
        <v>151</v>
      </c>
      <c r="T76" s="4" t="s">
        <v>71</v>
      </c>
      <c r="U76" s="9" t="s">
        <v>428</v>
      </c>
      <c r="V76" s="31" t="s">
        <v>67</v>
      </c>
      <c r="W76" s="4">
        <f t="shared" si="15"/>
        <v>55</v>
      </c>
      <c r="X76" s="10">
        <v>45866</v>
      </c>
      <c r="Y76" s="10">
        <v>45919</v>
      </c>
      <c r="Z76" s="8">
        <v>45921</v>
      </c>
      <c r="AC76" s="31" t="s">
        <v>152</v>
      </c>
      <c r="AE76" s="4" t="s">
        <v>69</v>
      </c>
      <c r="AJ76" s="31" t="s">
        <v>70</v>
      </c>
      <c r="AK76" s="34">
        <v>45922</v>
      </c>
      <c r="AL76" s="31" t="s">
        <v>421</v>
      </c>
      <c r="AM76" s="72"/>
      <c r="AN76" s="33"/>
      <c r="AP76" s="73"/>
      <c r="AT76" s="31" t="s">
        <v>149</v>
      </c>
      <c r="BG76" s="31">
        <v>812500063</v>
      </c>
      <c r="BH76" s="31">
        <v>100270</v>
      </c>
    </row>
    <row r="77" spans="1:60" ht="14.25" customHeight="1" x14ac:dyDescent="0.3">
      <c r="A77" s="31" t="s">
        <v>415</v>
      </c>
      <c r="C77" s="40">
        <v>862500548</v>
      </c>
      <c r="D77" s="31">
        <v>442500040</v>
      </c>
      <c r="E77" s="4">
        <v>45503000572</v>
      </c>
      <c r="F77" s="64" t="s">
        <v>103</v>
      </c>
      <c r="G77" s="44" t="s">
        <v>150</v>
      </c>
      <c r="H77" s="71">
        <v>1</v>
      </c>
      <c r="I77" s="7" t="s">
        <v>64</v>
      </c>
      <c r="J77" s="32">
        <v>1270</v>
      </c>
      <c r="K77" s="32">
        <v>1290</v>
      </c>
      <c r="L77" s="31" t="s">
        <v>257</v>
      </c>
      <c r="N77" s="4" t="s">
        <v>69</v>
      </c>
      <c r="O77" s="4" t="s">
        <v>417</v>
      </c>
      <c r="P77" s="4" t="s">
        <v>65</v>
      </c>
      <c r="Q77" s="31" t="s">
        <v>81</v>
      </c>
      <c r="R77" s="44" t="s">
        <v>151</v>
      </c>
      <c r="T77" s="4" t="s">
        <v>71</v>
      </c>
      <c r="U77" s="9" t="s">
        <v>428</v>
      </c>
      <c r="V77" s="31" t="s">
        <v>67</v>
      </c>
      <c r="W77" s="4">
        <f t="shared" si="15"/>
        <v>55</v>
      </c>
      <c r="X77" s="10">
        <v>45866</v>
      </c>
      <c r="Y77" s="10">
        <v>45919</v>
      </c>
      <c r="Z77" s="8">
        <v>45921</v>
      </c>
      <c r="AC77" s="31" t="s">
        <v>152</v>
      </c>
      <c r="AE77" s="4" t="s">
        <v>69</v>
      </c>
      <c r="AJ77" s="31" t="s">
        <v>70</v>
      </c>
      <c r="AK77" s="34">
        <v>45922</v>
      </c>
      <c r="AL77" s="31" t="s">
        <v>421</v>
      </c>
      <c r="AN77" s="33">
        <v>45923</v>
      </c>
      <c r="AP77" s="73"/>
      <c r="AT77" s="31" t="s">
        <v>149</v>
      </c>
      <c r="BG77" s="31">
        <v>812500063</v>
      </c>
      <c r="BH77" s="31">
        <v>100270</v>
      </c>
    </row>
    <row r="78" spans="1:60" ht="14.25" customHeight="1" x14ac:dyDescent="0.3">
      <c r="A78" s="31" t="s">
        <v>413</v>
      </c>
      <c r="B78" s="16" t="s">
        <v>95</v>
      </c>
      <c r="C78" s="40">
        <v>862501766</v>
      </c>
      <c r="D78" s="31">
        <v>442500333</v>
      </c>
      <c r="E78" s="4">
        <v>45407002456</v>
      </c>
      <c r="F78" s="64" t="s">
        <v>89</v>
      </c>
      <c r="G78" s="44" t="s">
        <v>96</v>
      </c>
      <c r="H78" s="71">
        <v>1</v>
      </c>
      <c r="I78" s="7" t="s">
        <v>64</v>
      </c>
      <c r="J78" s="32">
        <v>3639</v>
      </c>
      <c r="K78" s="32">
        <v>3739</v>
      </c>
      <c r="L78" s="31" t="s">
        <v>258</v>
      </c>
      <c r="M78" s="31">
        <v>2602032</v>
      </c>
      <c r="N78" s="4" t="s">
        <v>69</v>
      </c>
      <c r="O78" s="4" t="s">
        <v>418</v>
      </c>
      <c r="P78" s="4" t="s">
        <v>65</v>
      </c>
      <c r="Q78" s="31" t="s">
        <v>66</v>
      </c>
      <c r="R78" s="44" t="s">
        <v>259</v>
      </c>
      <c r="S78" s="4">
        <v>1</v>
      </c>
      <c r="T78" s="4" t="s">
        <v>99</v>
      </c>
      <c r="U78" s="9" t="s">
        <v>427</v>
      </c>
      <c r="V78" s="31" t="s">
        <v>67</v>
      </c>
      <c r="W78" s="4">
        <f t="shared" si="15"/>
        <v>38</v>
      </c>
      <c r="X78" s="10">
        <v>46089</v>
      </c>
      <c r="Y78" s="10">
        <v>46135</v>
      </c>
      <c r="Z78" s="8">
        <v>46127</v>
      </c>
      <c r="AC78" s="31" t="s">
        <v>152</v>
      </c>
      <c r="AD78" s="4" t="s">
        <v>101</v>
      </c>
      <c r="AE78" s="4" t="s">
        <v>69</v>
      </c>
      <c r="AJ78" s="31" t="s">
        <v>70</v>
      </c>
      <c r="AK78" s="33">
        <v>46127</v>
      </c>
      <c r="AL78" s="4" t="s">
        <v>419</v>
      </c>
      <c r="BG78" s="65">
        <v>812600038</v>
      </c>
      <c r="BH78" s="65">
        <v>100411</v>
      </c>
    </row>
    <row r="79" spans="1:60" ht="14.25" customHeight="1" x14ac:dyDescent="0.3">
      <c r="A79" s="31" t="s">
        <v>94</v>
      </c>
      <c r="B79" s="16" t="s">
        <v>95</v>
      </c>
      <c r="C79" s="40">
        <v>862501768</v>
      </c>
      <c r="D79" s="31">
        <v>462500725</v>
      </c>
      <c r="E79" s="4">
        <v>45407002453</v>
      </c>
      <c r="F79" s="64" t="s">
        <v>116</v>
      </c>
      <c r="G79" s="44" t="s">
        <v>222</v>
      </c>
      <c r="H79" s="71">
        <v>10</v>
      </c>
      <c r="I79" s="7" t="s">
        <v>64</v>
      </c>
      <c r="J79" s="32">
        <v>110</v>
      </c>
      <c r="K79" s="32">
        <v>120</v>
      </c>
      <c r="L79" s="31" t="s">
        <v>260</v>
      </c>
      <c r="M79" s="31" t="s">
        <v>72</v>
      </c>
      <c r="N79" s="4" t="s">
        <v>69</v>
      </c>
      <c r="O79" s="4" t="s">
        <v>418</v>
      </c>
      <c r="P79" s="4" t="s">
        <v>65</v>
      </c>
      <c r="Q79" s="31" t="s">
        <v>66</v>
      </c>
      <c r="R79" s="44" t="s">
        <v>259</v>
      </c>
      <c r="T79" s="4" t="s">
        <v>99</v>
      </c>
      <c r="U79" s="9" t="s">
        <v>427</v>
      </c>
      <c r="V79" s="31" t="s">
        <v>67</v>
      </c>
      <c r="W79" s="4">
        <f t="shared" si="15"/>
        <v>38</v>
      </c>
      <c r="X79" s="10">
        <v>46089</v>
      </c>
      <c r="Y79" s="10">
        <v>46135</v>
      </c>
      <c r="Z79" s="8">
        <v>46127</v>
      </c>
      <c r="AC79" s="31" t="s">
        <v>152</v>
      </c>
      <c r="AD79" s="4" t="s">
        <v>101</v>
      </c>
      <c r="AE79" s="4" t="s">
        <v>69</v>
      </c>
      <c r="AJ79" s="31" t="s">
        <v>70</v>
      </c>
      <c r="AK79" s="33">
        <v>46127</v>
      </c>
      <c r="AL79" s="4" t="s">
        <v>419</v>
      </c>
      <c r="BG79" s="65"/>
      <c r="BH79" s="65"/>
    </row>
    <row r="80" spans="1:60" ht="14.25" customHeight="1" x14ac:dyDescent="0.3">
      <c r="A80" s="31" t="s">
        <v>413</v>
      </c>
      <c r="B80" s="16" t="s">
        <v>95</v>
      </c>
      <c r="C80" s="40">
        <v>862501766</v>
      </c>
      <c r="D80" s="31">
        <v>442500333</v>
      </c>
      <c r="E80" s="4">
        <v>45407002456</v>
      </c>
      <c r="F80" s="64" t="s">
        <v>89</v>
      </c>
      <c r="G80" s="44" t="s">
        <v>96</v>
      </c>
      <c r="H80" s="71">
        <v>1</v>
      </c>
      <c r="I80" s="7" t="s">
        <v>64</v>
      </c>
      <c r="J80" s="32">
        <v>3639</v>
      </c>
      <c r="K80" s="32">
        <v>3739</v>
      </c>
      <c r="L80" s="31" t="s">
        <v>261</v>
      </c>
      <c r="M80" s="31">
        <v>2602033</v>
      </c>
      <c r="N80" s="4" t="s">
        <v>69</v>
      </c>
      <c r="O80" s="4" t="s">
        <v>418</v>
      </c>
      <c r="P80" s="4" t="s">
        <v>65</v>
      </c>
      <c r="Q80" s="31" t="s">
        <v>66</v>
      </c>
      <c r="R80" s="44" t="s">
        <v>259</v>
      </c>
      <c r="T80" s="4" t="s">
        <v>99</v>
      </c>
      <c r="U80" s="9" t="s">
        <v>427</v>
      </c>
      <c r="V80" s="31" t="s">
        <v>67</v>
      </c>
      <c r="W80" s="4">
        <f t="shared" si="15"/>
        <v>38</v>
      </c>
      <c r="X80" s="10">
        <v>46089</v>
      </c>
      <c r="Y80" s="10">
        <v>46135</v>
      </c>
      <c r="Z80" s="8">
        <v>46127</v>
      </c>
      <c r="AC80" s="31" t="s">
        <v>152</v>
      </c>
      <c r="AD80" s="4" t="s">
        <v>101</v>
      </c>
      <c r="AE80" s="4" t="s">
        <v>69</v>
      </c>
      <c r="AJ80" s="31" t="s">
        <v>70</v>
      </c>
      <c r="AK80" s="33">
        <v>46127</v>
      </c>
      <c r="AL80" s="4" t="s">
        <v>419</v>
      </c>
      <c r="BG80" s="65">
        <v>812600038</v>
      </c>
      <c r="BH80" s="65">
        <v>100411</v>
      </c>
    </row>
    <row r="81" spans="1:60" ht="14.25" customHeight="1" x14ac:dyDescent="0.3">
      <c r="A81" s="31" t="s">
        <v>413</v>
      </c>
      <c r="B81" s="16" t="s">
        <v>95</v>
      </c>
      <c r="C81" s="40">
        <v>862501737</v>
      </c>
      <c r="D81" s="31">
        <v>442500331</v>
      </c>
      <c r="E81" s="4">
        <v>45407002463</v>
      </c>
      <c r="F81" s="64" t="s">
        <v>89</v>
      </c>
      <c r="G81" s="44" t="s">
        <v>80</v>
      </c>
      <c r="H81" s="71">
        <v>1</v>
      </c>
      <c r="I81" s="7" t="s">
        <v>64</v>
      </c>
      <c r="J81" s="32">
        <v>3117</v>
      </c>
      <c r="K81" s="32">
        <v>3217</v>
      </c>
      <c r="L81" s="31" t="s">
        <v>262</v>
      </c>
      <c r="M81" s="31">
        <v>2601081</v>
      </c>
      <c r="N81" s="4" t="s">
        <v>69</v>
      </c>
      <c r="O81" s="4" t="s">
        <v>418</v>
      </c>
      <c r="P81" s="4" t="s">
        <v>65</v>
      </c>
      <c r="Q81" s="31" t="s">
        <v>66</v>
      </c>
      <c r="R81" s="44" t="s">
        <v>263</v>
      </c>
      <c r="S81" s="4">
        <v>1</v>
      </c>
      <c r="T81" s="4" t="s">
        <v>99</v>
      </c>
      <c r="U81" s="9" t="s">
        <v>427</v>
      </c>
      <c r="V81" s="31" t="s">
        <v>67</v>
      </c>
      <c r="W81" s="4">
        <f t="shared" si="15"/>
        <v>47</v>
      </c>
      <c r="X81" s="10">
        <v>46080</v>
      </c>
      <c r="Y81" s="10">
        <v>46127</v>
      </c>
      <c r="Z81" s="8">
        <v>46127</v>
      </c>
      <c r="AC81" s="31" t="s">
        <v>68</v>
      </c>
      <c r="AD81" s="4" t="s">
        <v>101</v>
      </c>
      <c r="AE81" s="4" t="s">
        <v>69</v>
      </c>
      <c r="AJ81" s="31" t="s">
        <v>70</v>
      </c>
      <c r="AK81" s="33">
        <v>46127</v>
      </c>
      <c r="AL81" s="4" t="s">
        <v>419</v>
      </c>
      <c r="AN81" s="33">
        <v>46203</v>
      </c>
      <c r="BG81" s="65">
        <v>812600035</v>
      </c>
      <c r="BH81" s="65">
        <v>100412</v>
      </c>
    </row>
    <row r="82" spans="1:60" ht="14.25" customHeight="1" x14ac:dyDescent="0.3">
      <c r="A82" s="31" t="s">
        <v>413</v>
      </c>
      <c r="B82" s="16" t="s">
        <v>95</v>
      </c>
      <c r="C82" s="40">
        <v>862501827</v>
      </c>
      <c r="D82" s="31">
        <v>442500333</v>
      </c>
      <c r="E82" s="4">
        <v>45407002456</v>
      </c>
      <c r="F82" s="64" t="s">
        <v>89</v>
      </c>
      <c r="G82" s="44" t="s">
        <v>96</v>
      </c>
      <c r="H82" s="71">
        <v>1</v>
      </c>
      <c r="I82" s="7" t="s">
        <v>64</v>
      </c>
      <c r="J82" s="32">
        <v>3639</v>
      </c>
      <c r="K82" s="32">
        <v>3739</v>
      </c>
      <c r="L82" s="31" t="s">
        <v>264</v>
      </c>
      <c r="M82" s="31">
        <v>2602037</v>
      </c>
      <c r="N82" s="4" t="s">
        <v>69</v>
      </c>
      <c r="O82" s="4" t="s">
        <v>418</v>
      </c>
      <c r="P82" s="4" t="s">
        <v>65</v>
      </c>
      <c r="Q82" s="31" t="s">
        <v>66</v>
      </c>
      <c r="R82" s="44" t="s">
        <v>265</v>
      </c>
      <c r="S82" s="4">
        <v>1</v>
      </c>
      <c r="T82" s="4" t="s">
        <v>99</v>
      </c>
      <c r="U82" s="9" t="s">
        <v>427</v>
      </c>
      <c r="V82" s="31" t="s">
        <v>67</v>
      </c>
      <c r="W82" s="4">
        <f>_xlfn.DAYS(Z82,X82)</f>
        <v>46</v>
      </c>
      <c r="X82" s="10">
        <v>46094</v>
      </c>
      <c r="Y82" s="10">
        <v>46143</v>
      </c>
      <c r="Z82" s="8">
        <v>46140</v>
      </c>
      <c r="AC82" s="31" t="s">
        <v>152</v>
      </c>
      <c r="AD82" s="4" t="s">
        <v>101</v>
      </c>
      <c r="AE82" s="4" t="s">
        <v>69</v>
      </c>
      <c r="AJ82" s="31" t="s">
        <v>70</v>
      </c>
      <c r="AK82" s="33">
        <v>46140</v>
      </c>
      <c r="AL82" s="4" t="s">
        <v>419</v>
      </c>
      <c r="BG82" s="65">
        <v>812600034</v>
      </c>
      <c r="BH82" s="65">
        <v>100411</v>
      </c>
    </row>
    <row r="83" spans="1:60" ht="14.25" customHeight="1" x14ac:dyDescent="0.3">
      <c r="A83" s="31" t="s">
        <v>413</v>
      </c>
      <c r="B83" s="16" t="s">
        <v>95</v>
      </c>
      <c r="C83" s="40">
        <v>862501827</v>
      </c>
      <c r="D83" s="31">
        <v>442500333</v>
      </c>
      <c r="E83" s="4">
        <v>45407002456</v>
      </c>
      <c r="F83" s="64" t="s">
        <v>89</v>
      </c>
      <c r="G83" s="44" t="s">
        <v>96</v>
      </c>
      <c r="H83" s="71">
        <v>1</v>
      </c>
      <c r="I83" s="7" t="s">
        <v>64</v>
      </c>
      <c r="J83" s="32">
        <v>3639</v>
      </c>
      <c r="K83" s="32">
        <v>3739</v>
      </c>
      <c r="L83" s="31" t="s">
        <v>266</v>
      </c>
      <c r="M83" s="31">
        <v>2602039</v>
      </c>
      <c r="N83" s="4" t="s">
        <v>69</v>
      </c>
      <c r="O83" s="4" t="s">
        <v>418</v>
      </c>
      <c r="P83" s="4" t="s">
        <v>65</v>
      </c>
      <c r="Q83" s="31" t="s">
        <v>66</v>
      </c>
      <c r="R83" s="44" t="s">
        <v>265</v>
      </c>
      <c r="T83" s="4" t="s">
        <v>99</v>
      </c>
      <c r="U83" s="9" t="s">
        <v>427</v>
      </c>
      <c r="V83" s="31" t="s">
        <v>67</v>
      </c>
      <c r="W83" s="4">
        <f>_xlfn.DAYS(Z83,X83)</f>
        <v>46</v>
      </c>
      <c r="X83" s="10">
        <v>46094</v>
      </c>
      <c r="Y83" s="10">
        <v>46143</v>
      </c>
      <c r="Z83" s="8">
        <v>46140</v>
      </c>
      <c r="AC83" s="31" t="s">
        <v>152</v>
      </c>
      <c r="AD83" s="4" t="s">
        <v>101</v>
      </c>
      <c r="AE83" s="4" t="s">
        <v>69</v>
      </c>
      <c r="AJ83" s="31" t="s">
        <v>70</v>
      </c>
      <c r="AK83" s="33">
        <v>46140</v>
      </c>
      <c r="AL83" s="4" t="s">
        <v>419</v>
      </c>
      <c r="BG83" s="65">
        <v>812600034</v>
      </c>
      <c r="BH83" s="65">
        <v>100411</v>
      </c>
    </row>
    <row r="84" spans="1:60" ht="14.25" customHeight="1" x14ac:dyDescent="0.3">
      <c r="A84" s="31" t="s">
        <v>413</v>
      </c>
      <c r="B84" s="16" t="s">
        <v>95</v>
      </c>
      <c r="C84" s="40">
        <v>862501838</v>
      </c>
      <c r="D84" s="31">
        <v>442500333</v>
      </c>
      <c r="E84" s="4">
        <v>45407002456</v>
      </c>
      <c r="F84" s="64" t="s">
        <v>89</v>
      </c>
      <c r="G84" s="44" t="s">
        <v>96</v>
      </c>
      <c r="H84" s="71">
        <v>1</v>
      </c>
      <c r="I84" s="7" t="s">
        <v>64</v>
      </c>
      <c r="J84" s="32">
        <v>3639</v>
      </c>
      <c r="K84" s="32">
        <v>3739</v>
      </c>
      <c r="L84" s="31" t="s">
        <v>267</v>
      </c>
      <c r="M84" s="31">
        <v>2602038</v>
      </c>
      <c r="N84" s="4" t="s">
        <v>69</v>
      </c>
      <c r="O84" s="4" t="s">
        <v>418</v>
      </c>
      <c r="P84" s="4" t="s">
        <v>65</v>
      </c>
      <c r="Q84" s="31" t="s">
        <v>66</v>
      </c>
      <c r="R84" s="44" t="s">
        <v>268</v>
      </c>
      <c r="S84" s="4">
        <v>1</v>
      </c>
      <c r="T84" s="4" t="s">
        <v>108</v>
      </c>
      <c r="U84" s="9" t="s">
        <v>427</v>
      </c>
      <c r="V84" s="31" t="s">
        <v>67</v>
      </c>
      <c r="W84" s="4">
        <f>_xlfn.DAYS(Z84,X84)</f>
        <v>46</v>
      </c>
      <c r="X84" s="10">
        <v>46094</v>
      </c>
      <c r="Y84" s="10">
        <v>46143</v>
      </c>
      <c r="Z84" s="8">
        <v>46140</v>
      </c>
      <c r="AC84" s="31" t="s">
        <v>152</v>
      </c>
      <c r="AD84" s="4" t="s">
        <v>101</v>
      </c>
      <c r="AE84" s="4" t="s">
        <v>69</v>
      </c>
      <c r="AJ84" s="31" t="s">
        <v>70</v>
      </c>
      <c r="AK84" s="33">
        <v>46140</v>
      </c>
      <c r="AL84" s="4" t="s">
        <v>419</v>
      </c>
      <c r="BG84" s="65">
        <v>812600033</v>
      </c>
      <c r="BH84" s="65">
        <v>100411</v>
      </c>
    </row>
    <row r="85" spans="1:60" ht="14.25" customHeight="1" x14ac:dyDescent="0.3">
      <c r="A85" s="31" t="s">
        <v>94</v>
      </c>
      <c r="B85" s="16" t="s">
        <v>109</v>
      </c>
      <c r="C85" s="40">
        <v>862501806</v>
      </c>
      <c r="D85" s="31">
        <v>462500719</v>
      </c>
      <c r="E85" s="4">
        <v>45407002454</v>
      </c>
      <c r="F85" s="64" t="s">
        <v>116</v>
      </c>
      <c r="G85" s="44" t="s">
        <v>269</v>
      </c>
      <c r="H85" s="71">
        <v>5</v>
      </c>
      <c r="I85" s="7" t="s">
        <v>64</v>
      </c>
      <c r="J85" s="32">
        <v>99</v>
      </c>
      <c r="K85" s="32">
        <v>101</v>
      </c>
      <c r="L85" s="31" t="s">
        <v>270</v>
      </c>
      <c r="M85" s="31" t="s">
        <v>72</v>
      </c>
      <c r="N85" s="4" t="s">
        <v>69</v>
      </c>
      <c r="O85" s="4" t="s">
        <v>416</v>
      </c>
      <c r="P85" s="4" t="s">
        <v>65</v>
      </c>
      <c r="Q85" s="31" t="s">
        <v>78</v>
      </c>
      <c r="R85" s="44" t="s">
        <v>129</v>
      </c>
      <c r="S85" s="4">
        <v>1</v>
      </c>
      <c r="T85" s="4" t="s">
        <v>99</v>
      </c>
      <c r="U85" s="9" t="s">
        <v>427</v>
      </c>
      <c r="V85" s="31" t="s">
        <v>67</v>
      </c>
      <c r="W85" s="4">
        <f t="shared" ref="W85:W87" si="16">_xlfn.DAYS(Z85,X85)</f>
        <v>56</v>
      </c>
      <c r="X85" s="10">
        <v>46089</v>
      </c>
      <c r="Y85" s="10">
        <v>46129</v>
      </c>
      <c r="Z85" s="8">
        <v>46145</v>
      </c>
      <c r="AC85" s="31" t="s">
        <v>152</v>
      </c>
      <c r="AD85" s="4" t="s">
        <v>101</v>
      </c>
      <c r="AE85" s="4" t="s">
        <v>69</v>
      </c>
      <c r="AJ85" s="31" t="s">
        <v>70</v>
      </c>
      <c r="AK85" s="33">
        <v>46147</v>
      </c>
      <c r="AL85" s="7" t="s">
        <v>420</v>
      </c>
      <c r="BG85" s="97"/>
      <c r="BH85" s="97"/>
    </row>
    <row r="86" spans="1:60" ht="14.25" customHeight="1" x14ac:dyDescent="0.3">
      <c r="A86" s="31" t="s">
        <v>94</v>
      </c>
      <c r="B86" s="16" t="s">
        <v>109</v>
      </c>
      <c r="C86" s="40">
        <v>862501806</v>
      </c>
      <c r="D86" s="31">
        <v>462500719</v>
      </c>
      <c r="E86" s="4">
        <v>45407002466</v>
      </c>
      <c r="F86" s="64" t="s">
        <v>116</v>
      </c>
      <c r="G86" s="44" t="s">
        <v>271</v>
      </c>
      <c r="H86" s="71">
        <v>4</v>
      </c>
      <c r="I86" s="7" t="s">
        <v>64</v>
      </c>
      <c r="J86" s="32">
        <v>44</v>
      </c>
      <c r="K86" s="32">
        <v>48</v>
      </c>
      <c r="L86" s="31" t="s">
        <v>272</v>
      </c>
      <c r="M86" s="31" t="s">
        <v>72</v>
      </c>
      <c r="N86" s="4" t="s">
        <v>69</v>
      </c>
      <c r="O86" s="4" t="s">
        <v>416</v>
      </c>
      <c r="P86" s="4" t="s">
        <v>65</v>
      </c>
      <c r="Q86" s="31" t="s">
        <v>78</v>
      </c>
      <c r="R86" s="44" t="s">
        <v>129</v>
      </c>
      <c r="T86" s="4" t="s">
        <v>99</v>
      </c>
      <c r="U86" s="9" t="s">
        <v>427</v>
      </c>
      <c r="V86" s="31" t="s">
        <v>67</v>
      </c>
      <c r="W86" s="4">
        <f t="shared" si="16"/>
        <v>56</v>
      </c>
      <c r="X86" s="10">
        <v>46089</v>
      </c>
      <c r="Y86" s="10">
        <v>46129</v>
      </c>
      <c r="Z86" s="8">
        <v>46145</v>
      </c>
      <c r="AC86" s="31" t="s">
        <v>152</v>
      </c>
      <c r="AD86" s="4" t="s">
        <v>101</v>
      </c>
      <c r="AE86" s="4" t="s">
        <v>69</v>
      </c>
      <c r="AJ86" s="31" t="s">
        <v>70</v>
      </c>
      <c r="AK86" s="33">
        <v>46147</v>
      </c>
      <c r="AL86" s="7" t="s">
        <v>420</v>
      </c>
      <c r="BG86" s="97"/>
      <c r="BH86" s="97"/>
    </row>
    <row r="87" spans="1:60" ht="14.25" customHeight="1" x14ac:dyDescent="0.3">
      <c r="A87" s="31" t="s">
        <v>413</v>
      </c>
      <c r="C87" s="40">
        <v>862501624</v>
      </c>
      <c r="D87" s="31">
        <v>462500726</v>
      </c>
      <c r="E87" s="4">
        <v>45407002439</v>
      </c>
      <c r="F87" s="64" t="s">
        <v>116</v>
      </c>
      <c r="G87" s="44" t="s">
        <v>206</v>
      </c>
      <c r="H87" s="71">
        <v>15</v>
      </c>
      <c r="I87" s="7" t="s">
        <v>64</v>
      </c>
      <c r="J87" s="32">
        <v>135</v>
      </c>
      <c r="K87" s="32">
        <v>155</v>
      </c>
      <c r="L87" s="31" t="s">
        <v>273</v>
      </c>
      <c r="M87" s="31" t="s">
        <v>72</v>
      </c>
      <c r="N87" s="4" t="s">
        <v>69</v>
      </c>
      <c r="O87" s="4" t="s">
        <v>418</v>
      </c>
      <c r="P87" s="4" t="s">
        <v>65</v>
      </c>
      <c r="Q87" s="31" t="s">
        <v>81</v>
      </c>
      <c r="R87" s="44" t="s">
        <v>255</v>
      </c>
      <c r="S87" s="4">
        <v>1</v>
      </c>
      <c r="T87" s="4" t="s">
        <v>163</v>
      </c>
      <c r="U87" s="9" t="s">
        <v>427</v>
      </c>
      <c r="V87" s="31" t="s">
        <v>67</v>
      </c>
      <c r="W87" s="4">
        <f t="shared" si="16"/>
        <v>47</v>
      </c>
      <c r="X87" s="10">
        <v>46058</v>
      </c>
      <c r="Y87" s="10">
        <v>46093</v>
      </c>
      <c r="Z87" s="8">
        <v>46105</v>
      </c>
      <c r="AC87" s="31" t="s">
        <v>152</v>
      </c>
      <c r="AE87" s="4" t="s">
        <v>69</v>
      </c>
      <c r="AK87" s="33">
        <v>46105</v>
      </c>
      <c r="AL87" s="31" t="s">
        <v>421</v>
      </c>
      <c r="AT87" s="31" t="s">
        <v>192</v>
      </c>
    </row>
    <row r="88" spans="1:60" ht="14.25" customHeight="1" x14ac:dyDescent="0.3">
      <c r="A88" s="31" t="s">
        <v>94</v>
      </c>
      <c r="C88" s="40">
        <v>862501867</v>
      </c>
      <c r="D88" s="31">
        <v>462500733</v>
      </c>
      <c r="E88" s="4">
        <v>45407002467</v>
      </c>
      <c r="F88" s="64" t="s">
        <v>116</v>
      </c>
      <c r="G88" s="44" t="s">
        <v>274</v>
      </c>
      <c r="H88" s="71">
        <v>3</v>
      </c>
      <c r="I88" s="7" t="s">
        <v>64</v>
      </c>
      <c r="J88" s="32">
        <v>39</v>
      </c>
      <c r="K88" s="32">
        <v>42</v>
      </c>
      <c r="L88" s="31" t="s">
        <v>275</v>
      </c>
      <c r="M88" s="31" t="s">
        <v>72</v>
      </c>
      <c r="N88" s="4" t="s">
        <v>69</v>
      </c>
      <c r="O88" s="4" t="s">
        <v>417</v>
      </c>
      <c r="P88" s="4" t="s">
        <v>65</v>
      </c>
      <c r="Q88" s="31" t="s">
        <v>81</v>
      </c>
      <c r="R88" s="44" t="s">
        <v>201</v>
      </c>
      <c r="T88" s="4" t="s">
        <v>108</v>
      </c>
      <c r="U88" s="9" t="s">
        <v>427</v>
      </c>
      <c r="V88" s="31" t="s">
        <v>67</v>
      </c>
      <c r="W88" s="4">
        <f>_xlfn.DAYS(Z88,X88)</f>
        <v>46</v>
      </c>
      <c r="X88" s="10">
        <v>46108</v>
      </c>
      <c r="Y88" s="10">
        <v>46143</v>
      </c>
      <c r="Z88" s="8">
        <v>46154</v>
      </c>
      <c r="AC88" s="31" t="s">
        <v>152</v>
      </c>
      <c r="AD88" s="4" t="s">
        <v>101</v>
      </c>
      <c r="AE88" s="4" t="s">
        <v>69</v>
      </c>
      <c r="AJ88" s="31" t="s">
        <v>70</v>
      </c>
      <c r="AK88" s="33">
        <v>46154</v>
      </c>
      <c r="AL88" s="31" t="s">
        <v>421</v>
      </c>
    </row>
    <row r="89" spans="1:60" ht="14.25" customHeight="1" x14ac:dyDescent="0.3">
      <c r="A89" s="31" t="s">
        <v>413</v>
      </c>
      <c r="B89" s="16" t="s">
        <v>95</v>
      </c>
      <c r="C89" s="40">
        <v>862501623</v>
      </c>
      <c r="D89" s="31">
        <v>442500334</v>
      </c>
      <c r="E89" s="4">
        <v>45407002457</v>
      </c>
      <c r="F89" s="64" t="s">
        <v>89</v>
      </c>
      <c r="G89" s="44" t="s">
        <v>189</v>
      </c>
      <c r="H89" s="71">
        <v>1</v>
      </c>
      <c r="I89" s="7" t="s">
        <v>64</v>
      </c>
      <c r="J89" s="32">
        <v>2976</v>
      </c>
      <c r="K89" s="32">
        <v>3076</v>
      </c>
      <c r="L89" s="31" t="s">
        <v>276</v>
      </c>
      <c r="M89" s="31">
        <v>2602053</v>
      </c>
      <c r="N89" s="4" t="s">
        <v>69</v>
      </c>
      <c r="O89" s="4" t="s">
        <v>418</v>
      </c>
      <c r="P89" s="4" t="s">
        <v>65</v>
      </c>
      <c r="Q89" s="31" t="s">
        <v>81</v>
      </c>
      <c r="R89" s="44" t="s">
        <v>255</v>
      </c>
      <c r="T89" s="4" t="s">
        <v>163</v>
      </c>
      <c r="U89" s="9" t="s">
        <v>427</v>
      </c>
      <c r="V89" s="31" t="s">
        <v>67</v>
      </c>
      <c r="W89" s="4">
        <f>_xlfn.DAYS(Z89,X89)</f>
        <v>47</v>
      </c>
      <c r="X89" s="10">
        <v>46058</v>
      </c>
      <c r="Y89" s="10">
        <v>46093</v>
      </c>
      <c r="Z89" s="8">
        <v>46105</v>
      </c>
      <c r="AC89" s="31" t="s">
        <v>152</v>
      </c>
      <c r="AE89" s="4" t="s">
        <v>69</v>
      </c>
      <c r="AJ89" s="31" t="s">
        <v>70</v>
      </c>
      <c r="AK89" s="33">
        <v>46105</v>
      </c>
      <c r="AL89" s="31" t="s">
        <v>421</v>
      </c>
      <c r="AM89" s="72"/>
      <c r="AT89" s="31" t="s">
        <v>192</v>
      </c>
      <c r="BG89" s="31">
        <v>812500122</v>
      </c>
      <c r="BH89" s="31">
        <v>100382</v>
      </c>
    </row>
    <row r="90" spans="1:60" ht="14.25" customHeight="1" x14ac:dyDescent="0.3">
      <c r="A90" s="31" t="s">
        <v>413</v>
      </c>
      <c r="B90" s="16" t="s">
        <v>95</v>
      </c>
      <c r="C90" s="40">
        <v>862501623</v>
      </c>
      <c r="D90" s="31">
        <v>442500334</v>
      </c>
      <c r="E90" s="4">
        <v>45407002457</v>
      </c>
      <c r="F90" s="64" t="s">
        <v>89</v>
      </c>
      <c r="G90" s="44" t="s">
        <v>189</v>
      </c>
      <c r="H90" s="71">
        <v>1</v>
      </c>
      <c r="I90" s="7" t="s">
        <v>64</v>
      </c>
      <c r="J90" s="32">
        <v>2976</v>
      </c>
      <c r="K90" s="32">
        <v>3076</v>
      </c>
      <c r="L90" s="31" t="s">
        <v>277</v>
      </c>
      <c r="M90" s="31">
        <v>2602054</v>
      </c>
      <c r="N90" s="4" t="s">
        <v>69</v>
      </c>
      <c r="O90" s="4" t="s">
        <v>418</v>
      </c>
      <c r="P90" s="4" t="s">
        <v>65</v>
      </c>
      <c r="Q90" s="31" t="s">
        <v>81</v>
      </c>
      <c r="R90" s="44" t="s">
        <v>255</v>
      </c>
      <c r="T90" s="4" t="s">
        <v>163</v>
      </c>
      <c r="U90" s="9" t="s">
        <v>427</v>
      </c>
      <c r="V90" s="31" t="s">
        <v>67</v>
      </c>
      <c r="W90" s="4">
        <f>_xlfn.DAYS(Z90,X90)</f>
        <v>47</v>
      </c>
      <c r="X90" s="10">
        <v>46058</v>
      </c>
      <c r="Y90" s="10">
        <v>46093</v>
      </c>
      <c r="Z90" s="8">
        <v>46105</v>
      </c>
      <c r="AC90" s="31" t="s">
        <v>152</v>
      </c>
      <c r="AE90" s="4" t="s">
        <v>69</v>
      </c>
      <c r="AJ90" s="31" t="s">
        <v>70</v>
      </c>
      <c r="AK90" s="33">
        <v>46105</v>
      </c>
      <c r="AL90" s="31" t="s">
        <v>421</v>
      </c>
      <c r="AM90" s="72"/>
      <c r="AT90" s="31" t="s">
        <v>192</v>
      </c>
      <c r="BG90" s="31">
        <v>812500122</v>
      </c>
      <c r="BH90" s="31">
        <v>100382</v>
      </c>
    </row>
    <row r="91" spans="1:60" ht="14.25" customHeight="1" x14ac:dyDescent="0.3">
      <c r="A91" s="31" t="s">
        <v>411</v>
      </c>
      <c r="B91" s="16" t="s">
        <v>169</v>
      </c>
      <c r="C91" s="40">
        <v>862501649</v>
      </c>
      <c r="D91" s="31">
        <v>442500325</v>
      </c>
      <c r="E91" s="4">
        <v>45407002460</v>
      </c>
      <c r="F91" s="64" t="s">
        <v>89</v>
      </c>
      <c r="G91" s="44" t="s">
        <v>230</v>
      </c>
      <c r="H91" s="71">
        <v>1</v>
      </c>
      <c r="I91" s="7" t="s">
        <v>64</v>
      </c>
      <c r="J91" s="32">
        <v>3883</v>
      </c>
      <c r="K91" s="32">
        <v>3983</v>
      </c>
      <c r="L91" s="31" t="s">
        <v>278</v>
      </c>
      <c r="M91" s="31">
        <v>2601059</v>
      </c>
      <c r="N91" s="4" t="s">
        <v>69</v>
      </c>
      <c r="O91" s="4" t="s">
        <v>418</v>
      </c>
      <c r="P91" s="4" t="s">
        <v>65</v>
      </c>
      <c r="Q91" s="31" t="s">
        <v>78</v>
      </c>
      <c r="R91" s="44" t="s">
        <v>243</v>
      </c>
      <c r="T91" s="4" t="s">
        <v>99</v>
      </c>
      <c r="U91" s="9" t="s">
        <v>427</v>
      </c>
      <c r="V91" s="31" t="s">
        <v>67</v>
      </c>
      <c r="W91" s="4">
        <f t="shared" ref="W91:W100" si="17">_xlfn.DAYS(Z91,X91)</f>
        <v>62</v>
      </c>
      <c r="X91" s="10">
        <v>46058</v>
      </c>
      <c r="Y91" s="10">
        <v>46113</v>
      </c>
      <c r="Z91" s="36">
        <v>46120</v>
      </c>
      <c r="AC91" s="31" t="s">
        <v>68</v>
      </c>
      <c r="AD91" s="13" t="s">
        <v>115</v>
      </c>
      <c r="AE91" s="4" t="s">
        <v>69</v>
      </c>
      <c r="AJ91" s="31" t="s">
        <v>70</v>
      </c>
      <c r="AK91" s="33">
        <v>46121</v>
      </c>
      <c r="AL91" s="7" t="s">
        <v>420</v>
      </c>
      <c r="AN91" s="33">
        <v>46230</v>
      </c>
      <c r="AP91" s="44"/>
      <c r="BG91" s="31">
        <v>812600017</v>
      </c>
      <c r="BH91" s="31">
        <v>100402</v>
      </c>
    </row>
    <row r="92" spans="1:60" ht="14.25" customHeight="1" x14ac:dyDescent="0.3">
      <c r="A92" s="31" t="s">
        <v>413</v>
      </c>
      <c r="B92" s="16" t="s">
        <v>95</v>
      </c>
      <c r="C92" s="40">
        <v>862501858</v>
      </c>
      <c r="D92" s="31">
        <v>462500722</v>
      </c>
      <c r="E92" s="4">
        <v>45407002453</v>
      </c>
      <c r="F92" s="64" t="s">
        <v>116</v>
      </c>
      <c r="G92" s="44" t="s">
        <v>222</v>
      </c>
      <c r="H92" s="71">
        <v>2</v>
      </c>
      <c r="I92" s="7" t="s">
        <v>64</v>
      </c>
      <c r="J92" s="32">
        <v>22</v>
      </c>
      <c r="K92" s="32">
        <v>23</v>
      </c>
      <c r="L92" s="31" t="s">
        <v>281</v>
      </c>
      <c r="M92" s="31" t="s">
        <v>72</v>
      </c>
      <c r="N92" s="4" t="s">
        <v>69</v>
      </c>
      <c r="O92" s="4" t="s">
        <v>418</v>
      </c>
      <c r="P92" s="4" t="s">
        <v>65</v>
      </c>
      <c r="Q92" s="31" t="s">
        <v>66</v>
      </c>
      <c r="R92" s="44" t="s">
        <v>280</v>
      </c>
      <c r="T92" s="4" t="s">
        <v>99</v>
      </c>
      <c r="U92" s="9" t="s">
        <v>427</v>
      </c>
      <c r="V92" s="31" t="s">
        <v>67</v>
      </c>
      <c r="W92" s="4">
        <f t="shared" si="17"/>
        <v>54</v>
      </c>
      <c r="X92" s="10">
        <v>46108</v>
      </c>
      <c r="Y92" s="10">
        <v>46143</v>
      </c>
      <c r="Z92" s="8">
        <v>46162</v>
      </c>
      <c r="AC92" s="31" t="s">
        <v>68</v>
      </c>
      <c r="AE92" s="4" t="s">
        <v>69</v>
      </c>
      <c r="AJ92" s="31" t="s">
        <v>70</v>
      </c>
      <c r="AK92" s="33">
        <v>46162</v>
      </c>
      <c r="AL92" s="4" t="s">
        <v>419</v>
      </c>
      <c r="AN92" s="33">
        <v>46203</v>
      </c>
    </row>
    <row r="93" spans="1:60" ht="14.25" customHeight="1" x14ac:dyDescent="0.3">
      <c r="A93" s="31" t="s">
        <v>413</v>
      </c>
      <c r="B93" s="16" t="s">
        <v>95</v>
      </c>
      <c r="C93" s="40">
        <v>862501875</v>
      </c>
      <c r="D93" s="31">
        <v>442500332</v>
      </c>
      <c r="E93" s="4">
        <v>45407002455</v>
      </c>
      <c r="F93" s="64" t="s">
        <v>79</v>
      </c>
      <c r="G93" s="44" t="s">
        <v>282</v>
      </c>
      <c r="H93" s="71">
        <v>1</v>
      </c>
      <c r="I93" s="7" t="s">
        <v>64</v>
      </c>
      <c r="J93" s="32">
        <v>3422</v>
      </c>
      <c r="K93" s="32">
        <v>3522</v>
      </c>
      <c r="L93" s="31" t="s">
        <v>283</v>
      </c>
      <c r="M93" s="31">
        <v>2601085</v>
      </c>
      <c r="N93" s="4" t="s">
        <v>69</v>
      </c>
      <c r="O93" s="4" t="s">
        <v>418</v>
      </c>
      <c r="P93" s="4" t="s">
        <v>65</v>
      </c>
      <c r="Q93" s="31" t="s">
        <v>66</v>
      </c>
      <c r="R93" s="44" t="s">
        <v>284</v>
      </c>
      <c r="S93" s="4">
        <v>1</v>
      </c>
      <c r="T93" s="4" t="s">
        <v>99</v>
      </c>
      <c r="U93" s="9" t="s">
        <v>427</v>
      </c>
      <c r="V93" s="31" t="s">
        <v>67</v>
      </c>
      <c r="W93" s="4">
        <f t="shared" si="17"/>
        <v>55</v>
      </c>
      <c r="X93" s="10">
        <v>46107</v>
      </c>
      <c r="Y93" s="10">
        <v>46151</v>
      </c>
      <c r="Z93" s="8">
        <v>46162</v>
      </c>
      <c r="AC93" s="31" t="s">
        <v>152</v>
      </c>
      <c r="AE93" s="4" t="s">
        <v>69</v>
      </c>
      <c r="AJ93" s="31" t="s">
        <v>70</v>
      </c>
      <c r="AK93" s="33">
        <v>46162</v>
      </c>
      <c r="AL93" s="4" t="s">
        <v>419</v>
      </c>
      <c r="BG93" s="31">
        <v>812600048</v>
      </c>
      <c r="BH93" s="31">
        <v>100424</v>
      </c>
    </row>
    <row r="94" spans="1:60" ht="14.25" customHeight="1" x14ac:dyDescent="0.3">
      <c r="A94" s="31" t="s">
        <v>413</v>
      </c>
      <c r="B94" s="16" t="s">
        <v>95</v>
      </c>
      <c r="C94" s="40">
        <v>862501875</v>
      </c>
      <c r="D94" s="31">
        <v>442500332</v>
      </c>
      <c r="E94" s="4">
        <v>45407002455</v>
      </c>
      <c r="F94" s="64" t="s">
        <v>79</v>
      </c>
      <c r="G94" s="44" t="s">
        <v>282</v>
      </c>
      <c r="H94" s="71">
        <v>1</v>
      </c>
      <c r="I94" s="7" t="s">
        <v>64</v>
      </c>
      <c r="J94" s="32">
        <v>3422</v>
      </c>
      <c r="K94" s="32">
        <v>3522</v>
      </c>
      <c r="L94" s="31" t="s">
        <v>285</v>
      </c>
      <c r="M94" s="31">
        <v>2601086</v>
      </c>
      <c r="N94" s="4" t="s">
        <v>69</v>
      </c>
      <c r="O94" s="4" t="s">
        <v>418</v>
      </c>
      <c r="P94" s="4" t="s">
        <v>65</v>
      </c>
      <c r="Q94" s="31" t="s">
        <v>66</v>
      </c>
      <c r="R94" s="44" t="s">
        <v>284</v>
      </c>
      <c r="T94" s="4" t="s">
        <v>99</v>
      </c>
      <c r="U94" s="9" t="s">
        <v>427</v>
      </c>
      <c r="V94" s="31" t="s">
        <v>67</v>
      </c>
      <c r="W94" s="4">
        <f t="shared" si="17"/>
        <v>55</v>
      </c>
      <c r="X94" s="10">
        <v>46107</v>
      </c>
      <c r="Y94" s="10">
        <v>46151</v>
      </c>
      <c r="Z94" s="8">
        <v>46162</v>
      </c>
      <c r="AC94" s="31" t="s">
        <v>152</v>
      </c>
      <c r="AE94" s="4" t="s">
        <v>69</v>
      </c>
      <c r="AJ94" s="31" t="s">
        <v>70</v>
      </c>
      <c r="AK94" s="33">
        <v>46162</v>
      </c>
      <c r="AL94" s="4" t="s">
        <v>419</v>
      </c>
      <c r="BG94" s="31">
        <v>812600048</v>
      </c>
      <c r="BH94" s="31">
        <v>100424</v>
      </c>
    </row>
    <row r="95" spans="1:60" ht="14.25" customHeight="1" x14ac:dyDescent="0.3">
      <c r="A95" s="31" t="s">
        <v>413</v>
      </c>
      <c r="B95" s="16" t="s">
        <v>95</v>
      </c>
      <c r="C95" s="40">
        <v>862501876</v>
      </c>
      <c r="D95" s="31">
        <v>462500724</v>
      </c>
      <c r="E95" s="4">
        <v>45407002438</v>
      </c>
      <c r="F95" s="64" t="s">
        <v>116</v>
      </c>
      <c r="G95" s="44" t="s">
        <v>212</v>
      </c>
      <c r="H95" s="71">
        <v>6</v>
      </c>
      <c r="I95" s="7" t="s">
        <v>64</v>
      </c>
      <c r="J95" s="32">
        <v>66</v>
      </c>
      <c r="K95" s="32">
        <v>72</v>
      </c>
      <c r="L95" s="31" t="s">
        <v>286</v>
      </c>
      <c r="M95" s="31" t="s">
        <v>72</v>
      </c>
      <c r="N95" s="4" t="s">
        <v>69</v>
      </c>
      <c r="O95" s="4" t="s">
        <v>418</v>
      </c>
      <c r="P95" s="4" t="s">
        <v>65</v>
      </c>
      <c r="Q95" s="31" t="s">
        <v>66</v>
      </c>
      <c r="R95" s="44" t="s">
        <v>284</v>
      </c>
      <c r="T95" s="4" t="s">
        <v>99</v>
      </c>
      <c r="U95" s="9" t="s">
        <v>427</v>
      </c>
      <c r="V95" s="31" t="s">
        <v>67</v>
      </c>
      <c r="W95" s="4">
        <f t="shared" si="17"/>
        <v>55</v>
      </c>
      <c r="X95" s="10">
        <v>46107</v>
      </c>
      <c r="Y95" s="10">
        <v>46151</v>
      </c>
      <c r="Z95" s="8">
        <v>46162</v>
      </c>
      <c r="AC95" s="31" t="s">
        <v>152</v>
      </c>
      <c r="AE95" s="4" t="s">
        <v>69</v>
      </c>
      <c r="AJ95" s="31" t="s">
        <v>70</v>
      </c>
      <c r="AK95" s="33">
        <v>46162</v>
      </c>
      <c r="AL95" s="4" t="s">
        <v>419</v>
      </c>
    </row>
    <row r="96" spans="1:60" ht="14.25" customHeight="1" x14ac:dyDescent="0.3">
      <c r="A96" s="31" t="s">
        <v>413</v>
      </c>
      <c r="B96" s="16" t="s">
        <v>95</v>
      </c>
      <c r="C96" s="40">
        <v>862501922</v>
      </c>
      <c r="D96" s="31">
        <v>442500332</v>
      </c>
      <c r="E96" s="4">
        <v>45407002455</v>
      </c>
      <c r="F96" s="64" t="s">
        <v>79</v>
      </c>
      <c r="G96" s="44" t="s">
        <v>282</v>
      </c>
      <c r="H96" s="71">
        <v>1</v>
      </c>
      <c r="I96" s="7" t="s">
        <v>64</v>
      </c>
      <c r="J96" s="32">
        <v>3422</v>
      </c>
      <c r="K96" s="32">
        <v>3522</v>
      </c>
      <c r="L96" s="31" t="s">
        <v>287</v>
      </c>
      <c r="M96" s="31">
        <v>2601087</v>
      </c>
      <c r="N96" s="4" t="s">
        <v>69</v>
      </c>
      <c r="O96" s="4" t="s">
        <v>418</v>
      </c>
      <c r="P96" s="4" t="s">
        <v>65</v>
      </c>
      <c r="Q96" s="31" t="s">
        <v>66</v>
      </c>
      <c r="R96" s="44" t="s">
        <v>288</v>
      </c>
      <c r="S96" s="4">
        <v>1</v>
      </c>
      <c r="T96" s="4" t="s">
        <v>99</v>
      </c>
      <c r="U96" s="9" t="s">
        <v>427</v>
      </c>
      <c r="V96" s="31" t="s">
        <v>67</v>
      </c>
      <c r="W96" s="4">
        <f t="shared" si="17"/>
        <v>47</v>
      </c>
      <c r="X96" s="10">
        <v>46120</v>
      </c>
      <c r="Y96" s="10">
        <v>46156</v>
      </c>
      <c r="Z96" s="8">
        <v>46167</v>
      </c>
      <c r="AC96" s="31" t="s">
        <v>152</v>
      </c>
      <c r="AD96" s="4" t="s">
        <v>101</v>
      </c>
      <c r="AE96" s="4" t="s">
        <v>69</v>
      </c>
      <c r="AJ96" s="31" t="s">
        <v>70</v>
      </c>
      <c r="AK96" s="33">
        <v>46167</v>
      </c>
      <c r="AL96" s="4" t="s">
        <v>419</v>
      </c>
      <c r="BG96" s="31">
        <v>812600050</v>
      </c>
      <c r="BH96" s="31">
        <v>100424</v>
      </c>
    </row>
    <row r="97" spans="1:60" ht="14.25" customHeight="1" x14ac:dyDescent="0.3">
      <c r="A97" s="31" t="s">
        <v>413</v>
      </c>
      <c r="B97" s="16" t="s">
        <v>95</v>
      </c>
      <c r="C97" s="40">
        <v>862501922</v>
      </c>
      <c r="D97" s="31">
        <v>442500332</v>
      </c>
      <c r="E97" s="4">
        <v>45407002455</v>
      </c>
      <c r="F97" s="64" t="s">
        <v>79</v>
      </c>
      <c r="G97" s="44" t="s">
        <v>282</v>
      </c>
      <c r="H97" s="71">
        <v>1</v>
      </c>
      <c r="I97" s="7" t="s">
        <v>64</v>
      </c>
      <c r="J97" s="32">
        <v>3422</v>
      </c>
      <c r="K97" s="32">
        <v>3522</v>
      </c>
      <c r="L97" s="31" t="s">
        <v>289</v>
      </c>
      <c r="M97" s="31">
        <v>2601088</v>
      </c>
      <c r="N97" s="4" t="s">
        <v>69</v>
      </c>
      <c r="O97" s="4" t="s">
        <v>418</v>
      </c>
      <c r="P97" s="4" t="s">
        <v>65</v>
      </c>
      <c r="Q97" s="31" t="s">
        <v>66</v>
      </c>
      <c r="R97" s="44" t="s">
        <v>288</v>
      </c>
      <c r="T97" s="4" t="s">
        <v>99</v>
      </c>
      <c r="U97" s="9" t="s">
        <v>427</v>
      </c>
      <c r="V97" s="31" t="s">
        <v>67</v>
      </c>
      <c r="W97" s="4">
        <f t="shared" si="17"/>
        <v>47</v>
      </c>
      <c r="X97" s="10">
        <v>46120</v>
      </c>
      <c r="Y97" s="10">
        <v>46156</v>
      </c>
      <c r="Z97" s="8">
        <v>46167</v>
      </c>
      <c r="AC97" s="31" t="s">
        <v>152</v>
      </c>
      <c r="AD97" s="4" t="s">
        <v>101</v>
      </c>
      <c r="AE97" s="4" t="s">
        <v>69</v>
      </c>
      <c r="AJ97" s="31" t="s">
        <v>70</v>
      </c>
      <c r="AK97" s="33">
        <v>46167</v>
      </c>
      <c r="AL97" s="4" t="s">
        <v>419</v>
      </c>
      <c r="BG97" s="31">
        <v>812600050</v>
      </c>
      <c r="BH97" s="31">
        <v>100424</v>
      </c>
    </row>
    <row r="98" spans="1:60" ht="14.25" customHeight="1" x14ac:dyDescent="0.3">
      <c r="A98" s="31" t="s">
        <v>413</v>
      </c>
      <c r="B98" s="16" t="s">
        <v>95</v>
      </c>
      <c r="C98" s="40">
        <v>862501956</v>
      </c>
      <c r="D98" s="31">
        <v>462500894</v>
      </c>
      <c r="E98" s="4">
        <v>45407002453</v>
      </c>
      <c r="F98" s="64" t="s">
        <v>116</v>
      </c>
      <c r="G98" s="44" t="s">
        <v>222</v>
      </c>
      <c r="H98" s="71">
        <v>4</v>
      </c>
      <c r="I98" s="7" t="s">
        <v>64</v>
      </c>
      <c r="J98" s="32">
        <v>44</v>
      </c>
      <c r="K98" s="32">
        <v>48</v>
      </c>
      <c r="L98" s="31" t="s">
        <v>290</v>
      </c>
      <c r="M98" s="31" t="s">
        <v>72</v>
      </c>
      <c r="N98" s="4" t="s">
        <v>69</v>
      </c>
      <c r="O98" s="4" t="s">
        <v>418</v>
      </c>
      <c r="P98" s="4" t="s">
        <v>65</v>
      </c>
      <c r="Q98" s="31" t="s">
        <v>66</v>
      </c>
      <c r="R98" s="44" t="s">
        <v>98</v>
      </c>
      <c r="T98" s="4" t="s">
        <v>99</v>
      </c>
      <c r="U98" s="9" t="s">
        <v>427</v>
      </c>
      <c r="V98" s="31" t="s">
        <v>67</v>
      </c>
      <c r="W98" s="4">
        <f t="shared" si="17"/>
        <v>49</v>
      </c>
      <c r="X98" s="10">
        <v>46118</v>
      </c>
      <c r="Y98" s="10">
        <v>46156</v>
      </c>
      <c r="Z98" s="8">
        <v>46167</v>
      </c>
      <c r="AC98" s="31" t="s">
        <v>152</v>
      </c>
      <c r="AD98" s="4" t="s">
        <v>101</v>
      </c>
      <c r="AE98" s="4" t="s">
        <v>69</v>
      </c>
      <c r="AJ98" s="31" t="s">
        <v>70</v>
      </c>
      <c r="AK98" s="33">
        <v>46167</v>
      </c>
      <c r="AL98" s="4" t="s">
        <v>419</v>
      </c>
    </row>
    <row r="99" spans="1:60" ht="14.25" customHeight="1" x14ac:dyDescent="0.3">
      <c r="A99" s="31" t="s">
        <v>413</v>
      </c>
      <c r="B99" s="16" t="s">
        <v>95</v>
      </c>
      <c r="C99" s="40">
        <v>862600004</v>
      </c>
      <c r="D99" s="31">
        <v>442500332</v>
      </c>
      <c r="E99" s="4">
        <v>45407002455</v>
      </c>
      <c r="F99" s="64" t="s">
        <v>79</v>
      </c>
      <c r="G99" s="44" t="s">
        <v>282</v>
      </c>
      <c r="H99" s="71">
        <v>1</v>
      </c>
      <c r="I99" s="7" t="s">
        <v>64</v>
      </c>
      <c r="J99" s="32">
        <v>3422</v>
      </c>
      <c r="K99" s="32">
        <v>3522</v>
      </c>
      <c r="L99" s="31" t="s">
        <v>291</v>
      </c>
      <c r="M99" s="31">
        <v>2601089</v>
      </c>
      <c r="N99" s="4" t="s">
        <v>69</v>
      </c>
      <c r="O99" s="4" t="s">
        <v>418</v>
      </c>
      <c r="P99" s="4" t="s">
        <v>65</v>
      </c>
      <c r="Q99" s="31" t="s">
        <v>66</v>
      </c>
      <c r="R99" s="44" t="s">
        <v>292</v>
      </c>
      <c r="S99" s="4">
        <v>1</v>
      </c>
      <c r="T99" s="4" t="s">
        <v>99</v>
      </c>
      <c r="U99" s="9" t="s">
        <v>427</v>
      </c>
      <c r="V99" s="31" t="s">
        <v>67</v>
      </c>
      <c r="W99" s="4">
        <f t="shared" si="17"/>
        <v>43</v>
      </c>
      <c r="X99" s="10">
        <v>46124</v>
      </c>
      <c r="Y99" s="10">
        <v>46167</v>
      </c>
      <c r="Z99" s="8">
        <v>46167</v>
      </c>
      <c r="AC99" s="31" t="s">
        <v>152</v>
      </c>
      <c r="AD99" s="4" t="s">
        <v>101</v>
      </c>
      <c r="AE99" s="4" t="s">
        <v>69</v>
      </c>
      <c r="AJ99" s="31" t="s">
        <v>70</v>
      </c>
      <c r="AK99" s="33">
        <v>46167</v>
      </c>
      <c r="AL99" s="4" t="s">
        <v>419</v>
      </c>
      <c r="BG99" s="31">
        <v>812600049</v>
      </c>
      <c r="BH99" s="31">
        <v>100424</v>
      </c>
    </row>
    <row r="100" spans="1:60" ht="14.25" customHeight="1" x14ac:dyDescent="0.3">
      <c r="A100" s="31" t="s">
        <v>413</v>
      </c>
      <c r="B100" s="16" t="s">
        <v>95</v>
      </c>
      <c r="C100" s="40">
        <v>862600004</v>
      </c>
      <c r="D100" s="31">
        <v>442500332</v>
      </c>
      <c r="E100" s="4">
        <v>45407002455</v>
      </c>
      <c r="F100" s="64" t="s">
        <v>79</v>
      </c>
      <c r="G100" s="44" t="s">
        <v>282</v>
      </c>
      <c r="H100" s="71">
        <v>1</v>
      </c>
      <c r="I100" s="7" t="s">
        <v>64</v>
      </c>
      <c r="J100" s="32">
        <v>3422</v>
      </c>
      <c r="K100" s="32">
        <v>3522</v>
      </c>
      <c r="L100" s="31" t="s">
        <v>293</v>
      </c>
      <c r="M100" s="31">
        <v>2601090</v>
      </c>
      <c r="N100" s="4" t="s">
        <v>69</v>
      </c>
      <c r="O100" s="4" t="s">
        <v>418</v>
      </c>
      <c r="P100" s="4" t="s">
        <v>65</v>
      </c>
      <c r="Q100" s="31" t="s">
        <v>66</v>
      </c>
      <c r="R100" s="44" t="s">
        <v>292</v>
      </c>
      <c r="T100" s="4" t="s">
        <v>99</v>
      </c>
      <c r="U100" s="9" t="s">
        <v>427</v>
      </c>
      <c r="V100" s="31" t="s">
        <v>67</v>
      </c>
      <c r="W100" s="4">
        <f t="shared" si="17"/>
        <v>43</v>
      </c>
      <c r="X100" s="10">
        <v>46124</v>
      </c>
      <c r="Y100" s="10">
        <v>46167</v>
      </c>
      <c r="Z100" s="8">
        <v>46167</v>
      </c>
      <c r="AC100" s="31" t="s">
        <v>152</v>
      </c>
      <c r="AD100" s="4" t="s">
        <v>101</v>
      </c>
      <c r="AE100" s="4" t="s">
        <v>69</v>
      </c>
      <c r="AJ100" s="31" t="s">
        <v>70</v>
      </c>
      <c r="AK100" s="33">
        <v>46167</v>
      </c>
      <c r="AL100" s="4" t="s">
        <v>419</v>
      </c>
      <c r="BG100" s="31">
        <v>812600049</v>
      </c>
      <c r="BH100" s="31">
        <v>100424</v>
      </c>
    </row>
    <row r="101" spans="1:60" ht="14.25" customHeight="1" x14ac:dyDescent="0.3">
      <c r="A101" s="31" t="s">
        <v>412</v>
      </c>
      <c r="B101" s="16" t="s">
        <v>132</v>
      </c>
      <c r="C101" s="40">
        <v>862501879</v>
      </c>
      <c r="D101" s="31">
        <v>462500734</v>
      </c>
      <c r="E101" s="4">
        <v>45407002466</v>
      </c>
      <c r="F101" s="64" t="s">
        <v>116</v>
      </c>
      <c r="G101" s="44" t="s">
        <v>271</v>
      </c>
      <c r="H101" s="71">
        <v>6</v>
      </c>
      <c r="I101" s="7" t="s">
        <v>64</v>
      </c>
      <c r="J101" s="32">
        <v>88</v>
      </c>
      <c r="K101" s="32">
        <v>96</v>
      </c>
      <c r="L101" s="31" t="s">
        <v>294</v>
      </c>
      <c r="M101" s="31" t="s">
        <v>72</v>
      </c>
      <c r="N101" s="4" t="s">
        <v>69</v>
      </c>
      <c r="O101" s="4" t="s">
        <v>416</v>
      </c>
      <c r="P101" s="4" t="s">
        <v>65</v>
      </c>
      <c r="Q101" s="31" t="s">
        <v>78</v>
      </c>
      <c r="R101" s="44" t="s">
        <v>135</v>
      </c>
      <c r="S101" s="4">
        <v>1</v>
      </c>
      <c r="T101" s="4" t="s">
        <v>99</v>
      </c>
      <c r="U101" s="9" t="s">
        <v>427</v>
      </c>
      <c r="V101" s="31" t="s">
        <v>67</v>
      </c>
      <c r="W101" s="4">
        <f t="shared" ref="W101:W108" si="18">_xlfn.DAYS(Z101,X101)</f>
        <v>52</v>
      </c>
      <c r="X101" s="10">
        <v>46108</v>
      </c>
      <c r="Y101" s="10">
        <v>46149</v>
      </c>
      <c r="Z101" s="8">
        <v>46160</v>
      </c>
      <c r="AC101" s="31" t="s">
        <v>152</v>
      </c>
      <c r="AE101" s="4" t="s">
        <v>69</v>
      </c>
      <c r="AI101" s="13">
        <v>46163</v>
      </c>
      <c r="AJ101" s="31" t="s">
        <v>70</v>
      </c>
      <c r="AK101" s="33">
        <v>46161</v>
      </c>
      <c r="AL101" s="7" t="s">
        <v>420</v>
      </c>
      <c r="AP101" s="91"/>
    </row>
    <row r="102" spans="1:60" ht="14.25" customHeight="1" x14ac:dyDescent="0.3">
      <c r="A102" s="31" t="s">
        <v>412</v>
      </c>
      <c r="B102" s="16" t="s">
        <v>132</v>
      </c>
      <c r="C102" s="40">
        <v>862501926</v>
      </c>
      <c r="D102" s="31">
        <v>442500327</v>
      </c>
      <c r="E102" s="4">
        <v>45407002518</v>
      </c>
      <c r="F102" s="64" t="s">
        <v>79</v>
      </c>
      <c r="G102" s="44" t="s">
        <v>133</v>
      </c>
      <c r="H102" s="71">
        <v>1</v>
      </c>
      <c r="I102" s="7" t="s">
        <v>64</v>
      </c>
      <c r="J102" s="32">
        <v>5614</v>
      </c>
      <c r="K102" s="32">
        <v>5714</v>
      </c>
      <c r="L102" s="31" t="s">
        <v>295</v>
      </c>
      <c r="M102" s="31">
        <v>2602026</v>
      </c>
      <c r="N102" s="4" t="s">
        <v>69</v>
      </c>
      <c r="O102" s="4" t="s">
        <v>416</v>
      </c>
      <c r="P102" s="4" t="s">
        <v>65</v>
      </c>
      <c r="Q102" s="31" t="s">
        <v>78</v>
      </c>
      <c r="R102" s="44" t="s">
        <v>296</v>
      </c>
      <c r="S102" s="4">
        <v>1</v>
      </c>
      <c r="T102" s="4" t="s">
        <v>108</v>
      </c>
      <c r="U102" s="9" t="s">
        <v>427</v>
      </c>
      <c r="V102" s="31" t="s">
        <v>67</v>
      </c>
      <c r="W102" s="4">
        <f t="shared" si="18"/>
        <v>43</v>
      </c>
      <c r="X102" s="10">
        <v>46118</v>
      </c>
      <c r="Y102" s="10">
        <v>46161</v>
      </c>
      <c r="Z102" s="8">
        <v>46161</v>
      </c>
      <c r="AC102" s="31" t="s">
        <v>152</v>
      </c>
      <c r="AE102" s="4" t="s">
        <v>69</v>
      </c>
      <c r="AI102" s="13">
        <v>46163</v>
      </c>
      <c r="AJ102" s="31" t="s">
        <v>70</v>
      </c>
      <c r="AK102" s="33">
        <v>46163</v>
      </c>
      <c r="AL102" s="7" t="s">
        <v>420</v>
      </c>
      <c r="AN102" s="33">
        <v>46259</v>
      </c>
      <c r="AP102" s="91"/>
      <c r="AT102" s="31" t="s">
        <v>297</v>
      </c>
      <c r="BG102" s="31">
        <v>812600052</v>
      </c>
      <c r="BH102" s="31">
        <v>100425</v>
      </c>
    </row>
    <row r="103" spans="1:60" ht="14.25" customHeight="1" x14ac:dyDescent="0.3">
      <c r="A103" s="31" t="s">
        <v>412</v>
      </c>
      <c r="B103" s="16" t="s">
        <v>132</v>
      </c>
      <c r="C103" s="40">
        <v>862600012</v>
      </c>
      <c r="D103" s="31">
        <v>442500327</v>
      </c>
      <c r="F103" s="64" t="s">
        <v>79</v>
      </c>
      <c r="G103" s="44" t="s">
        <v>133</v>
      </c>
      <c r="H103" s="71">
        <v>1</v>
      </c>
      <c r="I103" s="7" t="s">
        <v>64</v>
      </c>
      <c r="J103" s="32">
        <v>5614</v>
      </c>
      <c r="K103" s="32">
        <v>5714</v>
      </c>
      <c r="L103" s="31" t="s">
        <v>298</v>
      </c>
      <c r="M103" s="31">
        <v>2602027</v>
      </c>
      <c r="N103" s="4" t="s">
        <v>69</v>
      </c>
      <c r="O103" s="4" t="s">
        <v>416</v>
      </c>
      <c r="P103" s="4" t="s">
        <v>65</v>
      </c>
      <c r="Q103" s="31" t="s">
        <v>78</v>
      </c>
      <c r="R103" s="44" t="s">
        <v>299</v>
      </c>
      <c r="S103" s="4">
        <v>1</v>
      </c>
      <c r="T103" s="4" t="s">
        <v>99</v>
      </c>
      <c r="U103" s="9" t="s">
        <v>427</v>
      </c>
      <c r="V103" s="31" t="s">
        <v>67</v>
      </c>
      <c r="W103" s="4">
        <f t="shared" si="18"/>
        <v>43</v>
      </c>
      <c r="X103" s="10">
        <v>46118</v>
      </c>
      <c r="Y103" s="10">
        <v>46161</v>
      </c>
      <c r="Z103" s="8">
        <v>46161</v>
      </c>
      <c r="AC103" s="31" t="s">
        <v>152</v>
      </c>
      <c r="AE103" s="4" t="s">
        <v>69</v>
      </c>
      <c r="AI103" s="33">
        <v>46164</v>
      </c>
      <c r="AJ103" s="31" t="s">
        <v>70</v>
      </c>
      <c r="AK103" s="33">
        <v>46164</v>
      </c>
      <c r="AL103" s="7" t="s">
        <v>420</v>
      </c>
      <c r="AN103" s="33">
        <v>46259</v>
      </c>
      <c r="AP103" s="91"/>
      <c r="AT103" s="31" t="s">
        <v>297</v>
      </c>
      <c r="BG103" s="31">
        <v>812600053</v>
      </c>
      <c r="BH103" s="31">
        <v>100425</v>
      </c>
    </row>
    <row r="104" spans="1:60" ht="14.25" customHeight="1" x14ac:dyDescent="0.3">
      <c r="A104" s="31" t="s">
        <v>413</v>
      </c>
      <c r="B104" s="16" t="s">
        <v>95</v>
      </c>
      <c r="C104" s="40">
        <v>862501737</v>
      </c>
      <c r="D104" s="31">
        <v>442500331</v>
      </c>
      <c r="E104" s="4">
        <v>45407002463</v>
      </c>
      <c r="F104" s="64" t="s">
        <v>89</v>
      </c>
      <c r="G104" s="44" t="s">
        <v>80</v>
      </c>
      <c r="H104" s="71">
        <v>1</v>
      </c>
      <c r="I104" s="7" t="s">
        <v>64</v>
      </c>
      <c r="J104" s="32">
        <v>3117</v>
      </c>
      <c r="K104" s="32">
        <v>3217</v>
      </c>
      <c r="L104" s="31" t="s">
        <v>300</v>
      </c>
      <c r="M104" s="31">
        <v>2601078</v>
      </c>
      <c r="N104" s="4" t="s">
        <v>69</v>
      </c>
      <c r="O104" s="4" t="s">
        <v>418</v>
      </c>
      <c r="P104" s="4" t="s">
        <v>65</v>
      </c>
      <c r="Q104" s="31" t="s">
        <v>66</v>
      </c>
      <c r="R104" s="44" t="s">
        <v>263</v>
      </c>
      <c r="T104" s="4" t="s">
        <v>99</v>
      </c>
      <c r="U104" s="9" t="s">
        <v>427</v>
      </c>
      <c r="V104" s="31" t="s">
        <v>67</v>
      </c>
      <c r="W104" s="4">
        <f t="shared" si="18"/>
        <v>47</v>
      </c>
      <c r="X104" s="10">
        <v>46080</v>
      </c>
      <c r="Y104" s="10">
        <v>46127</v>
      </c>
      <c r="Z104" s="8">
        <v>46127</v>
      </c>
      <c r="AC104" s="31" t="s">
        <v>68</v>
      </c>
      <c r="AD104" s="4" t="s">
        <v>101</v>
      </c>
      <c r="AE104" s="4" t="s">
        <v>69</v>
      </c>
      <c r="AJ104" s="31" t="s">
        <v>70</v>
      </c>
      <c r="AK104" s="33">
        <v>46127</v>
      </c>
      <c r="AL104" s="4" t="s">
        <v>419</v>
      </c>
      <c r="AN104" s="33">
        <v>46232</v>
      </c>
      <c r="AP104" s="91"/>
      <c r="BG104" s="65">
        <v>812600035</v>
      </c>
      <c r="BH104" s="65">
        <v>100412</v>
      </c>
    </row>
    <row r="105" spans="1:60" ht="14.25" customHeight="1" x14ac:dyDescent="0.3">
      <c r="A105" s="31" t="s">
        <v>412</v>
      </c>
      <c r="B105" s="16" t="s">
        <v>132</v>
      </c>
      <c r="C105" s="40">
        <v>862600012</v>
      </c>
      <c r="D105" s="31">
        <v>442500327</v>
      </c>
      <c r="F105" s="64" t="s">
        <v>79</v>
      </c>
      <c r="G105" s="44" t="s">
        <v>133</v>
      </c>
      <c r="H105" s="71">
        <v>1</v>
      </c>
      <c r="I105" s="7" t="s">
        <v>64</v>
      </c>
      <c r="J105" s="32">
        <v>5614</v>
      </c>
      <c r="K105" s="32">
        <v>5714</v>
      </c>
      <c r="L105" s="31" t="s">
        <v>302</v>
      </c>
      <c r="M105" s="31">
        <v>2602028</v>
      </c>
      <c r="N105" s="4" t="s">
        <v>69</v>
      </c>
      <c r="O105" s="4" t="s">
        <v>416</v>
      </c>
      <c r="P105" s="4" t="s">
        <v>65</v>
      </c>
      <c r="Q105" s="31" t="s">
        <v>78</v>
      </c>
      <c r="R105" s="44" t="s">
        <v>299</v>
      </c>
      <c r="T105" s="4" t="s">
        <v>99</v>
      </c>
      <c r="U105" s="9" t="s">
        <v>427</v>
      </c>
      <c r="V105" s="31" t="s">
        <v>67</v>
      </c>
      <c r="W105" s="4">
        <f t="shared" si="18"/>
        <v>43</v>
      </c>
      <c r="X105" s="10">
        <v>46118</v>
      </c>
      <c r="Y105" s="10">
        <v>46161</v>
      </c>
      <c r="Z105" s="8">
        <v>46161</v>
      </c>
      <c r="AC105" s="31" t="s">
        <v>152</v>
      </c>
      <c r="AE105" s="4" t="s">
        <v>69</v>
      </c>
      <c r="AI105" s="33">
        <v>46164</v>
      </c>
      <c r="AJ105" s="31" t="s">
        <v>70</v>
      </c>
      <c r="AK105" s="33">
        <v>46164</v>
      </c>
      <c r="AL105" s="7" t="s">
        <v>420</v>
      </c>
      <c r="AN105" s="33">
        <v>46259</v>
      </c>
      <c r="AP105" s="91"/>
      <c r="AT105" s="31" t="s">
        <v>297</v>
      </c>
      <c r="BG105" s="31">
        <v>812600053</v>
      </c>
      <c r="BH105" s="31">
        <v>100425</v>
      </c>
    </row>
    <row r="106" spans="1:60" ht="14.25" customHeight="1" x14ac:dyDescent="0.3">
      <c r="A106" s="31" t="s">
        <v>413</v>
      </c>
      <c r="B106" s="16" t="s">
        <v>95</v>
      </c>
      <c r="C106" s="40">
        <v>862501737</v>
      </c>
      <c r="D106" s="31">
        <v>442500331</v>
      </c>
      <c r="E106" s="4">
        <v>45407002463</v>
      </c>
      <c r="F106" s="64" t="s">
        <v>89</v>
      </c>
      <c r="G106" s="44" t="s">
        <v>80</v>
      </c>
      <c r="H106" s="71">
        <v>1</v>
      </c>
      <c r="I106" s="7" t="s">
        <v>64</v>
      </c>
      <c r="J106" s="32">
        <v>3117</v>
      </c>
      <c r="K106" s="32">
        <v>3217</v>
      </c>
      <c r="L106" s="31" t="s">
        <v>303</v>
      </c>
      <c r="M106" s="31">
        <v>2601082</v>
      </c>
      <c r="N106" s="4" t="s">
        <v>69</v>
      </c>
      <c r="O106" s="4" t="s">
        <v>418</v>
      </c>
      <c r="P106" s="4" t="s">
        <v>65</v>
      </c>
      <c r="Q106" s="31" t="s">
        <v>66</v>
      </c>
      <c r="R106" s="44" t="s">
        <v>263</v>
      </c>
      <c r="T106" s="4" t="s">
        <v>99</v>
      </c>
      <c r="U106" s="9" t="s">
        <v>427</v>
      </c>
      <c r="V106" s="31" t="s">
        <v>67</v>
      </c>
      <c r="W106" s="4">
        <f t="shared" si="18"/>
        <v>47</v>
      </c>
      <c r="X106" s="10">
        <v>46080</v>
      </c>
      <c r="Y106" s="10">
        <v>46127</v>
      </c>
      <c r="Z106" s="8">
        <v>46127</v>
      </c>
      <c r="AC106" s="31" t="s">
        <v>68</v>
      </c>
      <c r="AD106" s="4" t="s">
        <v>101</v>
      </c>
      <c r="AE106" s="4" t="s">
        <v>69</v>
      </c>
      <c r="AJ106" s="31" t="s">
        <v>70</v>
      </c>
      <c r="AK106" s="33">
        <v>46127</v>
      </c>
      <c r="AL106" s="4" t="s">
        <v>419</v>
      </c>
      <c r="AN106" s="33">
        <v>46232</v>
      </c>
      <c r="AP106" s="91"/>
      <c r="BG106" s="65">
        <v>812600035</v>
      </c>
      <c r="BH106" s="65">
        <v>100412</v>
      </c>
    </row>
    <row r="107" spans="1:60" ht="14.25" customHeight="1" x14ac:dyDescent="0.3">
      <c r="A107" s="31" t="s">
        <v>412</v>
      </c>
      <c r="B107" s="16" t="s">
        <v>132</v>
      </c>
      <c r="C107" s="40">
        <v>862501912</v>
      </c>
      <c r="D107" s="31">
        <v>442500327</v>
      </c>
      <c r="E107" s="4">
        <v>45407002518</v>
      </c>
      <c r="F107" s="64" t="s">
        <v>79</v>
      </c>
      <c r="G107" s="44" t="s">
        <v>133</v>
      </c>
      <c r="H107" s="71">
        <v>1</v>
      </c>
      <c r="I107" s="7" t="s">
        <v>64</v>
      </c>
      <c r="J107" s="32">
        <v>5614</v>
      </c>
      <c r="K107" s="32">
        <v>5714</v>
      </c>
      <c r="L107" s="31" t="s">
        <v>304</v>
      </c>
      <c r="M107" s="31">
        <v>2602024</v>
      </c>
      <c r="N107" s="4" t="s">
        <v>69</v>
      </c>
      <c r="O107" s="4" t="s">
        <v>416</v>
      </c>
      <c r="P107" s="4" t="s">
        <v>65</v>
      </c>
      <c r="Q107" s="31" t="s">
        <v>78</v>
      </c>
      <c r="R107" s="44" t="s">
        <v>305</v>
      </c>
      <c r="S107" s="4">
        <v>1</v>
      </c>
      <c r="T107" s="4" t="s">
        <v>99</v>
      </c>
      <c r="U107" s="9" t="s">
        <v>427</v>
      </c>
      <c r="V107" s="31" t="s">
        <v>67</v>
      </c>
      <c r="W107" s="4">
        <f t="shared" si="18"/>
        <v>61</v>
      </c>
      <c r="X107" s="10">
        <v>46109</v>
      </c>
      <c r="Y107" s="10">
        <v>46149</v>
      </c>
      <c r="Z107" s="8">
        <v>46170</v>
      </c>
      <c r="AC107" s="31" t="s">
        <v>152</v>
      </c>
      <c r="AE107" s="4" t="s">
        <v>69</v>
      </c>
      <c r="AI107" s="13">
        <v>46174</v>
      </c>
      <c r="AJ107" s="31" t="s">
        <v>70</v>
      </c>
      <c r="AK107" s="33">
        <v>46171</v>
      </c>
      <c r="AL107" s="7" t="s">
        <v>420</v>
      </c>
      <c r="AN107" s="33">
        <v>46259</v>
      </c>
      <c r="AP107" s="91"/>
      <c r="AT107" s="31" t="s">
        <v>297</v>
      </c>
      <c r="BG107" s="31">
        <v>812600055</v>
      </c>
      <c r="BH107" s="31">
        <v>100427</v>
      </c>
    </row>
    <row r="108" spans="1:60" ht="14.25" customHeight="1" x14ac:dyDescent="0.3">
      <c r="A108" s="31" t="s">
        <v>412</v>
      </c>
      <c r="B108" s="16" t="s">
        <v>132</v>
      </c>
      <c r="C108" s="40">
        <v>862501912</v>
      </c>
      <c r="D108" s="31">
        <v>442500327</v>
      </c>
      <c r="E108" s="4">
        <v>45407002518</v>
      </c>
      <c r="F108" s="64" t="s">
        <v>79</v>
      </c>
      <c r="G108" s="44" t="s">
        <v>133</v>
      </c>
      <c r="H108" s="71">
        <v>1</v>
      </c>
      <c r="I108" s="7" t="s">
        <v>64</v>
      </c>
      <c r="J108" s="32">
        <v>5614</v>
      </c>
      <c r="K108" s="32">
        <v>5714</v>
      </c>
      <c r="L108" s="31" t="s">
        <v>306</v>
      </c>
      <c r="M108" s="31">
        <v>2602025</v>
      </c>
      <c r="N108" s="4" t="s">
        <v>69</v>
      </c>
      <c r="O108" s="4" t="s">
        <v>416</v>
      </c>
      <c r="P108" s="4" t="s">
        <v>65</v>
      </c>
      <c r="Q108" s="31" t="s">
        <v>78</v>
      </c>
      <c r="R108" s="44" t="s">
        <v>305</v>
      </c>
      <c r="T108" s="4" t="s">
        <v>99</v>
      </c>
      <c r="U108" s="9" t="s">
        <v>427</v>
      </c>
      <c r="V108" s="31" t="s">
        <v>67</v>
      </c>
      <c r="W108" s="4">
        <f t="shared" si="18"/>
        <v>61</v>
      </c>
      <c r="X108" s="10">
        <v>46109</v>
      </c>
      <c r="Y108" s="10">
        <v>46149</v>
      </c>
      <c r="Z108" s="8">
        <v>46170</v>
      </c>
      <c r="AC108" s="31" t="s">
        <v>152</v>
      </c>
      <c r="AE108" s="4" t="s">
        <v>69</v>
      </c>
      <c r="AI108" s="13">
        <v>46174</v>
      </c>
      <c r="AJ108" s="31" t="s">
        <v>70</v>
      </c>
      <c r="AK108" s="33">
        <v>46171</v>
      </c>
      <c r="AL108" s="7" t="s">
        <v>420</v>
      </c>
      <c r="AN108" s="33">
        <v>46259</v>
      </c>
      <c r="AP108" s="91"/>
      <c r="AT108" s="31" t="s">
        <v>297</v>
      </c>
      <c r="BG108" s="31">
        <v>812600055</v>
      </c>
      <c r="BH108" s="31">
        <v>100427</v>
      </c>
    </row>
    <row r="109" spans="1:60" ht="14.25" customHeight="1" x14ac:dyDescent="0.3">
      <c r="A109" s="31" t="s">
        <v>413</v>
      </c>
      <c r="B109" s="16" t="s">
        <v>95</v>
      </c>
      <c r="C109" s="40">
        <v>862600320</v>
      </c>
      <c r="D109" s="31">
        <v>442600066</v>
      </c>
      <c r="E109" s="4">
        <v>45407002459</v>
      </c>
      <c r="F109" s="64" t="s">
        <v>79</v>
      </c>
      <c r="G109" s="44" t="s">
        <v>279</v>
      </c>
      <c r="H109" s="71">
        <v>1</v>
      </c>
      <c r="I109" s="7" t="s">
        <v>64</v>
      </c>
      <c r="J109" s="32">
        <v>3830</v>
      </c>
      <c r="K109" s="32">
        <v>4340</v>
      </c>
      <c r="L109" s="31" t="s">
        <v>307</v>
      </c>
      <c r="M109" s="31">
        <v>2605003</v>
      </c>
      <c r="N109" s="4" t="s">
        <v>69</v>
      </c>
      <c r="O109" s="4" t="s">
        <v>418</v>
      </c>
      <c r="P109" s="4" t="s">
        <v>86</v>
      </c>
      <c r="Q109" s="31" t="s">
        <v>87</v>
      </c>
      <c r="R109" s="44" t="s">
        <v>308</v>
      </c>
      <c r="T109" s="4" t="s">
        <v>309</v>
      </c>
      <c r="U109" s="4" t="s">
        <v>426</v>
      </c>
      <c r="V109" s="31" t="s">
        <v>67</v>
      </c>
      <c r="W109" s="4">
        <f t="shared" ref="W109:W113" si="19">_xlfn.DAYS(Z109,X109)</f>
        <v>3</v>
      </c>
      <c r="X109" s="10">
        <v>46189</v>
      </c>
      <c r="Y109" s="10">
        <v>46192</v>
      </c>
      <c r="Z109" s="8">
        <v>46192</v>
      </c>
      <c r="AC109" s="31" t="s">
        <v>68</v>
      </c>
      <c r="AE109" s="4" t="s">
        <v>69</v>
      </c>
      <c r="AJ109" s="31" t="s">
        <v>70</v>
      </c>
      <c r="AK109" s="33">
        <v>46197</v>
      </c>
      <c r="AL109" s="4" t="s">
        <v>419</v>
      </c>
      <c r="AN109" s="33">
        <v>46202</v>
      </c>
      <c r="AP109" s="91"/>
      <c r="BG109" s="31">
        <v>812600062</v>
      </c>
      <c r="BH109" s="31">
        <v>100435</v>
      </c>
    </row>
    <row r="110" spans="1:60" ht="14.25" customHeight="1" x14ac:dyDescent="0.3">
      <c r="A110" s="31" t="s">
        <v>413</v>
      </c>
      <c r="B110" s="16" t="s">
        <v>95</v>
      </c>
      <c r="C110" s="40">
        <v>862600320</v>
      </c>
      <c r="D110" s="31">
        <v>442600066</v>
      </c>
      <c r="E110" s="4">
        <v>45407002459</v>
      </c>
      <c r="F110" s="64" t="s">
        <v>79</v>
      </c>
      <c r="G110" s="44" t="s">
        <v>279</v>
      </c>
      <c r="H110" s="71">
        <v>1</v>
      </c>
      <c r="I110" s="7" t="s">
        <v>64</v>
      </c>
      <c r="J110" s="32">
        <v>3830</v>
      </c>
      <c r="K110" s="32">
        <v>4340</v>
      </c>
      <c r="L110" s="31" t="s">
        <v>310</v>
      </c>
      <c r="M110" s="31">
        <v>2605004</v>
      </c>
      <c r="N110" s="4" t="s">
        <v>69</v>
      </c>
      <c r="O110" s="4" t="s">
        <v>418</v>
      </c>
      <c r="P110" s="4" t="s">
        <v>86</v>
      </c>
      <c r="Q110" s="31" t="s">
        <v>87</v>
      </c>
      <c r="R110" s="44" t="s">
        <v>308</v>
      </c>
      <c r="T110" s="4" t="s">
        <v>309</v>
      </c>
      <c r="U110" s="4" t="s">
        <v>426</v>
      </c>
      <c r="V110" s="31" t="s">
        <v>67</v>
      </c>
      <c r="W110" s="4">
        <f t="shared" si="19"/>
        <v>3</v>
      </c>
      <c r="X110" s="10">
        <v>46189</v>
      </c>
      <c r="Y110" s="10">
        <v>46192</v>
      </c>
      <c r="Z110" s="8">
        <v>46192</v>
      </c>
      <c r="AC110" s="31" t="s">
        <v>68</v>
      </c>
      <c r="AE110" s="4" t="s">
        <v>69</v>
      </c>
      <c r="AJ110" s="31" t="s">
        <v>70</v>
      </c>
      <c r="AK110" s="33">
        <v>46197</v>
      </c>
      <c r="AL110" s="4" t="s">
        <v>419</v>
      </c>
      <c r="AN110" s="33">
        <v>46202</v>
      </c>
      <c r="AP110" s="91"/>
      <c r="BG110" s="31">
        <v>812600062</v>
      </c>
      <c r="BH110" s="31">
        <v>100435</v>
      </c>
    </row>
    <row r="111" spans="1:60" ht="14.25" customHeight="1" x14ac:dyDescent="0.3">
      <c r="A111" s="31" t="s">
        <v>413</v>
      </c>
      <c r="B111" s="16" t="s">
        <v>95</v>
      </c>
      <c r="C111" s="40">
        <v>862600296</v>
      </c>
      <c r="D111" s="31">
        <v>442600066</v>
      </c>
      <c r="E111" s="4">
        <v>45407002459</v>
      </c>
      <c r="F111" s="64" t="s">
        <v>79</v>
      </c>
      <c r="G111" s="44" t="s">
        <v>279</v>
      </c>
      <c r="H111" s="71">
        <v>1</v>
      </c>
      <c r="I111" s="7" t="s">
        <v>64</v>
      </c>
      <c r="J111" s="32">
        <v>3830</v>
      </c>
      <c r="K111" s="32">
        <v>4250</v>
      </c>
      <c r="L111" s="31" t="s">
        <v>311</v>
      </c>
      <c r="M111" s="31">
        <v>2605001</v>
      </c>
      <c r="N111" s="4" t="s">
        <v>69</v>
      </c>
      <c r="O111" s="4" t="s">
        <v>418</v>
      </c>
      <c r="P111" s="4" t="s">
        <v>86</v>
      </c>
      <c r="Q111" s="31" t="s">
        <v>87</v>
      </c>
      <c r="R111" s="44" t="s">
        <v>312</v>
      </c>
      <c r="T111" s="4" t="s">
        <v>309</v>
      </c>
      <c r="U111" s="4" t="s">
        <v>426</v>
      </c>
      <c r="V111" s="31" t="s">
        <v>67</v>
      </c>
      <c r="W111" s="4">
        <f t="shared" si="19"/>
        <v>11</v>
      </c>
      <c r="X111" s="10">
        <v>46182</v>
      </c>
      <c r="Y111" s="10">
        <v>46186</v>
      </c>
      <c r="Z111" s="8">
        <v>46193</v>
      </c>
      <c r="AC111" s="31" t="s">
        <v>68</v>
      </c>
      <c r="AE111" s="4" t="s">
        <v>69</v>
      </c>
      <c r="AJ111" s="31" t="s">
        <v>70</v>
      </c>
      <c r="AK111" s="33">
        <v>46196</v>
      </c>
      <c r="AL111" s="4" t="s">
        <v>419</v>
      </c>
      <c r="AN111" s="33">
        <v>46202</v>
      </c>
      <c r="AP111" s="91"/>
      <c r="BG111" s="31">
        <v>812600063</v>
      </c>
      <c r="BH111" s="31">
        <v>100435</v>
      </c>
    </row>
    <row r="112" spans="1:60" ht="14.25" customHeight="1" x14ac:dyDescent="0.3">
      <c r="A112" s="31" t="s">
        <v>413</v>
      </c>
      <c r="B112" s="16" t="s">
        <v>95</v>
      </c>
      <c r="C112" s="40">
        <v>862600296</v>
      </c>
      <c r="D112" s="31">
        <v>442600066</v>
      </c>
      <c r="E112" s="4">
        <v>45407002459</v>
      </c>
      <c r="F112" s="64" t="s">
        <v>79</v>
      </c>
      <c r="G112" s="44" t="s">
        <v>279</v>
      </c>
      <c r="H112" s="71">
        <v>1</v>
      </c>
      <c r="I112" s="7" t="s">
        <v>64</v>
      </c>
      <c r="J112" s="32">
        <v>3830</v>
      </c>
      <c r="K112" s="32">
        <v>4250</v>
      </c>
      <c r="L112" s="31" t="s">
        <v>313</v>
      </c>
      <c r="M112" s="31">
        <v>2605002</v>
      </c>
      <c r="N112" s="4" t="s">
        <v>69</v>
      </c>
      <c r="O112" s="4" t="s">
        <v>418</v>
      </c>
      <c r="P112" s="4" t="s">
        <v>86</v>
      </c>
      <c r="Q112" s="31" t="s">
        <v>87</v>
      </c>
      <c r="R112" s="44" t="s">
        <v>312</v>
      </c>
      <c r="T112" s="4" t="s">
        <v>309</v>
      </c>
      <c r="U112" s="4" t="s">
        <v>426</v>
      </c>
      <c r="V112" s="31" t="s">
        <v>67</v>
      </c>
      <c r="W112" s="4">
        <f t="shared" si="19"/>
        <v>11</v>
      </c>
      <c r="X112" s="10">
        <v>46182</v>
      </c>
      <c r="Y112" s="10">
        <v>46186</v>
      </c>
      <c r="Z112" s="8">
        <v>46193</v>
      </c>
      <c r="AC112" s="31" t="s">
        <v>68</v>
      </c>
      <c r="AE112" s="4" t="s">
        <v>69</v>
      </c>
      <c r="AJ112" s="31" t="s">
        <v>70</v>
      </c>
      <c r="AK112" s="33">
        <v>46196</v>
      </c>
      <c r="AL112" s="4" t="s">
        <v>419</v>
      </c>
      <c r="AN112" s="33">
        <v>46202</v>
      </c>
      <c r="AP112" s="91"/>
      <c r="BG112" s="31">
        <v>812600063</v>
      </c>
      <c r="BH112" s="31">
        <v>100435</v>
      </c>
    </row>
    <row r="113" spans="1:61" ht="14.25" customHeight="1" x14ac:dyDescent="0.3">
      <c r="A113" s="31" t="s">
        <v>412</v>
      </c>
      <c r="B113" s="16" t="s">
        <v>132</v>
      </c>
      <c r="C113" s="40">
        <v>862600035</v>
      </c>
      <c r="D113" s="31">
        <v>442500327</v>
      </c>
      <c r="F113" s="64" t="s">
        <v>79</v>
      </c>
      <c r="G113" s="44" t="s">
        <v>133</v>
      </c>
      <c r="H113" s="71">
        <v>1</v>
      </c>
      <c r="I113" s="7" t="s">
        <v>64</v>
      </c>
      <c r="J113" s="32">
        <v>5614</v>
      </c>
      <c r="K113" s="32">
        <v>5714</v>
      </c>
      <c r="L113" s="31" t="s">
        <v>314</v>
      </c>
      <c r="M113" s="31">
        <v>2602029</v>
      </c>
      <c r="N113" s="4" t="s">
        <v>69</v>
      </c>
      <c r="O113" s="4" t="s">
        <v>416</v>
      </c>
      <c r="P113" s="4" t="s">
        <v>65</v>
      </c>
      <c r="Q113" s="31" t="s">
        <v>78</v>
      </c>
      <c r="R113" s="44" t="s">
        <v>315</v>
      </c>
      <c r="S113" s="4">
        <v>1</v>
      </c>
      <c r="T113" s="4" t="s">
        <v>99</v>
      </c>
      <c r="U113" s="9" t="s">
        <v>427</v>
      </c>
      <c r="V113" s="31" t="s">
        <v>67</v>
      </c>
      <c r="W113" s="4">
        <f t="shared" si="19"/>
        <v>65</v>
      </c>
      <c r="X113" s="10">
        <v>46135</v>
      </c>
      <c r="Y113" s="10">
        <v>46177</v>
      </c>
      <c r="Z113" s="8">
        <v>46200</v>
      </c>
      <c r="AC113" s="31" t="s">
        <v>152</v>
      </c>
      <c r="AE113" s="4" t="s">
        <v>69</v>
      </c>
      <c r="AI113" s="13">
        <v>46203</v>
      </c>
      <c r="AJ113" s="31" t="s">
        <v>70</v>
      </c>
      <c r="AK113" s="13">
        <v>46203</v>
      </c>
      <c r="AL113" s="7" t="s">
        <v>420</v>
      </c>
      <c r="AN113" s="33">
        <v>46259</v>
      </c>
      <c r="AP113" s="91"/>
      <c r="AT113" s="31" t="s">
        <v>297</v>
      </c>
      <c r="BG113" s="31">
        <v>812600073</v>
      </c>
      <c r="BH113" s="31">
        <v>100438</v>
      </c>
    </row>
    <row r="114" spans="1:61" ht="14.25" customHeight="1" x14ac:dyDescent="0.3">
      <c r="A114" s="31" t="s">
        <v>94</v>
      </c>
      <c r="C114" s="40">
        <v>862501335</v>
      </c>
      <c r="D114" s="31">
        <v>462500515</v>
      </c>
      <c r="E114" s="4">
        <v>45503000574</v>
      </c>
      <c r="F114" s="64" t="s">
        <v>90</v>
      </c>
      <c r="G114" s="44" t="s">
        <v>123</v>
      </c>
      <c r="H114" s="71">
        <v>1</v>
      </c>
      <c r="I114" s="7" t="s">
        <v>64</v>
      </c>
      <c r="J114" s="32">
        <v>1787</v>
      </c>
      <c r="K114" s="32">
        <v>1837</v>
      </c>
      <c r="L114" s="31" t="s">
        <v>316</v>
      </c>
      <c r="M114" s="31" t="s">
        <v>317</v>
      </c>
      <c r="N114" s="4" t="s">
        <v>69</v>
      </c>
      <c r="O114" s="4" t="s">
        <v>417</v>
      </c>
      <c r="P114" s="4" t="s">
        <v>65</v>
      </c>
      <c r="Q114" s="31" t="s">
        <v>81</v>
      </c>
      <c r="R114" s="44" t="s">
        <v>128</v>
      </c>
      <c r="T114" s="4" t="s">
        <v>99</v>
      </c>
      <c r="U114" s="9" t="s">
        <v>427</v>
      </c>
      <c r="V114" s="31" t="s">
        <v>67</v>
      </c>
      <c r="W114" s="4">
        <f t="shared" ref="W114:W120" si="20">_xlfn.DAYS(Z114,X114)</f>
        <v>40</v>
      </c>
      <c r="X114" s="10">
        <v>46003</v>
      </c>
      <c r="Y114" s="10">
        <v>46045</v>
      </c>
      <c r="Z114" s="8">
        <v>46043</v>
      </c>
      <c r="AC114" s="31" t="s">
        <v>68</v>
      </c>
      <c r="AE114" s="4" t="s">
        <v>69</v>
      </c>
      <c r="AJ114" s="31" t="s">
        <v>70</v>
      </c>
      <c r="AK114" s="33">
        <v>46043</v>
      </c>
      <c r="AL114" s="31" t="s">
        <v>421</v>
      </c>
      <c r="AM114" s="72"/>
      <c r="AN114" s="33">
        <v>46233</v>
      </c>
      <c r="AP114" s="91"/>
      <c r="BG114" s="31">
        <v>822600007</v>
      </c>
      <c r="BH114" s="31">
        <v>100440</v>
      </c>
      <c r="BI114" s="31">
        <v>4850000081</v>
      </c>
    </row>
    <row r="115" spans="1:61" ht="14.25" customHeight="1" x14ac:dyDescent="0.3">
      <c r="A115" s="31" t="s">
        <v>94</v>
      </c>
      <c r="C115" s="40">
        <v>862501335</v>
      </c>
      <c r="D115" s="31">
        <v>462500515</v>
      </c>
      <c r="E115" s="4">
        <v>45503000574</v>
      </c>
      <c r="F115" s="64" t="s">
        <v>90</v>
      </c>
      <c r="G115" s="44" t="s">
        <v>123</v>
      </c>
      <c r="H115" s="71">
        <v>1</v>
      </c>
      <c r="I115" s="7" t="s">
        <v>64</v>
      </c>
      <c r="J115" s="32">
        <v>1790</v>
      </c>
      <c r="K115" s="32">
        <v>1840</v>
      </c>
      <c r="L115" s="31" t="s">
        <v>318</v>
      </c>
      <c r="M115" s="31" t="s">
        <v>319</v>
      </c>
      <c r="N115" s="4" t="s">
        <v>69</v>
      </c>
      <c r="O115" s="4" t="s">
        <v>417</v>
      </c>
      <c r="P115" s="4" t="s">
        <v>65</v>
      </c>
      <c r="Q115" s="31" t="s">
        <v>81</v>
      </c>
      <c r="R115" s="44" t="s">
        <v>128</v>
      </c>
      <c r="T115" s="4" t="s">
        <v>99</v>
      </c>
      <c r="U115" s="9" t="s">
        <v>427</v>
      </c>
      <c r="V115" s="31" t="s">
        <v>67</v>
      </c>
      <c r="W115" s="4">
        <f t="shared" si="20"/>
        <v>40</v>
      </c>
      <c r="X115" s="10">
        <v>46003</v>
      </c>
      <c r="Y115" s="10">
        <v>46045</v>
      </c>
      <c r="Z115" s="8">
        <v>46043</v>
      </c>
      <c r="AC115" s="31" t="s">
        <v>68</v>
      </c>
      <c r="AE115" s="4" t="s">
        <v>69</v>
      </c>
      <c r="AJ115" s="31" t="s">
        <v>70</v>
      </c>
      <c r="AK115" s="33">
        <v>46043</v>
      </c>
      <c r="AL115" s="31" t="s">
        <v>421</v>
      </c>
      <c r="AM115" s="72"/>
      <c r="AN115" s="33">
        <v>46233</v>
      </c>
      <c r="AP115" s="91"/>
      <c r="BG115" s="31">
        <v>822600007</v>
      </c>
      <c r="BH115" s="31">
        <v>100440</v>
      </c>
      <c r="BI115" s="31">
        <v>4850000081</v>
      </c>
    </row>
    <row r="116" spans="1:61" ht="14.25" customHeight="1" x14ac:dyDescent="0.3">
      <c r="A116" s="31" t="s">
        <v>94</v>
      </c>
      <c r="C116" s="40">
        <v>862501335</v>
      </c>
      <c r="D116" s="31">
        <v>462500515</v>
      </c>
      <c r="E116" s="4">
        <v>45503000574</v>
      </c>
      <c r="F116" s="64" t="s">
        <v>90</v>
      </c>
      <c r="G116" s="44" t="s">
        <v>123</v>
      </c>
      <c r="H116" s="71">
        <v>1</v>
      </c>
      <c r="I116" s="7" t="s">
        <v>64</v>
      </c>
      <c r="J116" s="32">
        <v>1792</v>
      </c>
      <c r="K116" s="32">
        <v>1842</v>
      </c>
      <c r="L116" s="31" t="s">
        <v>320</v>
      </c>
      <c r="M116" s="31" t="s">
        <v>321</v>
      </c>
      <c r="N116" s="4" t="s">
        <v>69</v>
      </c>
      <c r="O116" s="4" t="s">
        <v>417</v>
      </c>
      <c r="P116" s="4" t="s">
        <v>65</v>
      </c>
      <c r="Q116" s="31" t="s">
        <v>81</v>
      </c>
      <c r="R116" s="44" t="s">
        <v>128</v>
      </c>
      <c r="T116" s="4" t="s">
        <v>99</v>
      </c>
      <c r="U116" s="9" t="s">
        <v>427</v>
      </c>
      <c r="V116" s="31" t="s">
        <v>67</v>
      </c>
      <c r="W116" s="4">
        <f t="shared" si="20"/>
        <v>40</v>
      </c>
      <c r="X116" s="10">
        <v>46003</v>
      </c>
      <c r="Y116" s="10">
        <v>46045</v>
      </c>
      <c r="Z116" s="8">
        <v>46043</v>
      </c>
      <c r="AC116" s="31" t="s">
        <v>68</v>
      </c>
      <c r="AE116" s="4" t="s">
        <v>69</v>
      </c>
      <c r="AJ116" s="31" t="s">
        <v>70</v>
      </c>
      <c r="AK116" s="33">
        <v>46043</v>
      </c>
      <c r="AL116" s="31" t="s">
        <v>421</v>
      </c>
      <c r="AM116" s="72"/>
      <c r="AN116" s="33">
        <v>46233</v>
      </c>
      <c r="AP116" s="91"/>
      <c r="BG116" s="31">
        <v>822600007</v>
      </c>
      <c r="BH116" s="31">
        <v>100440</v>
      </c>
      <c r="BI116" s="31">
        <v>4850000081</v>
      </c>
    </row>
    <row r="117" spans="1:61" ht="14.25" customHeight="1" x14ac:dyDescent="0.3">
      <c r="A117" s="31" t="s">
        <v>94</v>
      </c>
      <c r="C117" s="40">
        <v>862501335</v>
      </c>
      <c r="D117" s="31">
        <v>462500515</v>
      </c>
      <c r="E117" s="4">
        <v>45503000574</v>
      </c>
      <c r="F117" s="64" t="s">
        <v>90</v>
      </c>
      <c r="G117" s="44" t="s">
        <v>123</v>
      </c>
      <c r="H117" s="71">
        <v>1</v>
      </c>
      <c r="I117" s="7" t="s">
        <v>64</v>
      </c>
      <c r="J117" s="32">
        <v>1791</v>
      </c>
      <c r="K117" s="32">
        <v>1841</v>
      </c>
      <c r="L117" s="31" t="s">
        <v>322</v>
      </c>
      <c r="M117" s="31" t="s">
        <v>323</v>
      </c>
      <c r="N117" s="4" t="s">
        <v>69</v>
      </c>
      <c r="O117" s="4" t="s">
        <v>417</v>
      </c>
      <c r="P117" s="4" t="s">
        <v>65</v>
      </c>
      <c r="Q117" s="31" t="s">
        <v>81</v>
      </c>
      <c r="R117" s="44" t="s">
        <v>128</v>
      </c>
      <c r="T117" s="4" t="s">
        <v>99</v>
      </c>
      <c r="U117" s="9" t="s">
        <v>427</v>
      </c>
      <c r="V117" s="31" t="s">
        <v>67</v>
      </c>
      <c r="W117" s="4">
        <f t="shared" si="20"/>
        <v>40</v>
      </c>
      <c r="X117" s="10">
        <v>46003</v>
      </c>
      <c r="Y117" s="10">
        <v>46045</v>
      </c>
      <c r="Z117" s="8">
        <v>46043</v>
      </c>
      <c r="AC117" s="31" t="s">
        <v>68</v>
      </c>
      <c r="AE117" s="4" t="s">
        <v>69</v>
      </c>
      <c r="AJ117" s="31" t="s">
        <v>70</v>
      </c>
      <c r="AK117" s="33">
        <v>46043</v>
      </c>
      <c r="AL117" s="31" t="s">
        <v>421</v>
      </c>
      <c r="AM117" s="72"/>
      <c r="AN117" s="33">
        <v>46233</v>
      </c>
      <c r="AP117" s="91"/>
      <c r="BG117" s="31">
        <v>822600007</v>
      </c>
      <c r="BH117" s="31">
        <v>100440</v>
      </c>
      <c r="BI117" s="31">
        <v>4850000081</v>
      </c>
    </row>
    <row r="118" spans="1:61" ht="14.25" customHeight="1" x14ac:dyDescent="0.3">
      <c r="A118" s="31" t="s">
        <v>412</v>
      </c>
      <c r="B118" s="16" t="s">
        <v>132</v>
      </c>
      <c r="C118" s="40">
        <v>862600035</v>
      </c>
      <c r="D118" s="31">
        <v>442500327</v>
      </c>
      <c r="F118" s="64" t="s">
        <v>79</v>
      </c>
      <c r="G118" s="44" t="s">
        <v>133</v>
      </c>
      <c r="H118" s="71">
        <v>1</v>
      </c>
      <c r="I118" s="7" t="s">
        <v>64</v>
      </c>
      <c r="J118" s="32">
        <v>5614</v>
      </c>
      <c r="K118" s="32">
        <v>5714</v>
      </c>
      <c r="L118" s="31" t="s">
        <v>324</v>
      </c>
      <c r="M118" s="31">
        <v>2602070</v>
      </c>
      <c r="N118" s="4" t="s">
        <v>69</v>
      </c>
      <c r="O118" s="4" t="s">
        <v>416</v>
      </c>
      <c r="P118" s="4" t="s">
        <v>65</v>
      </c>
      <c r="Q118" s="31" t="s">
        <v>78</v>
      </c>
      <c r="R118" s="44" t="s">
        <v>315</v>
      </c>
      <c r="T118" s="4" t="s">
        <v>99</v>
      </c>
      <c r="U118" s="9" t="s">
        <v>427</v>
      </c>
      <c r="V118" s="31" t="s">
        <v>67</v>
      </c>
      <c r="W118" s="4">
        <f t="shared" si="20"/>
        <v>65</v>
      </c>
      <c r="X118" s="10">
        <v>46135</v>
      </c>
      <c r="Y118" s="10">
        <v>46177</v>
      </c>
      <c r="Z118" s="8">
        <v>46200</v>
      </c>
      <c r="AC118" s="31" t="s">
        <v>152</v>
      </c>
      <c r="AE118" s="4" t="s">
        <v>69</v>
      </c>
      <c r="AI118" s="13">
        <v>46203</v>
      </c>
      <c r="AJ118" s="31" t="s">
        <v>70</v>
      </c>
      <c r="AK118" s="13">
        <v>46203</v>
      </c>
      <c r="AL118" s="7" t="s">
        <v>420</v>
      </c>
      <c r="AN118" s="33">
        <v>46259</v>
      </c>
      <c r="AP118" s="91"/>
      <c r="AT118" s="31" t="s">
        <v>297</v>
      </c>
      <c r="BG118" s="31">
        <v>812600073</v>
      </c>
      <c r="BH118" s="31">
        <v>100438</v>
      </c>
    </row>
    <row r="119" spans="1:61" ht="14.25" customHeight="1" x14ac:dyDescent="0.3">
      <c r="A119" s="31" t="s">
        <v>94</v>
      </c>
      <c r="C119" s="40">
        <v>862501335</v>
      </c>
      <c r="D119" s="31">
        <v>462500515</v>
      </c>
      <c r="E119" s="4">
        <v>45503000574</v>
      </c>
      <c r="F119" s="64" t="s">
        <v>90</v>
      </c>
      <c r="G119" s="44" t="s">
        <v>123</v>
      </c>
      <c r="H119" s="71">
        <v>1</v>
      </c>
      <c r="I119" s="7" t="s">
        <v>64</v>
      </c>
      <c r="J119" s="32">
        <v>1792</v>
      </c>
      <c r="K119" s="32">
        <v>1842</v>
      </c>
      <c r="L119" s="31" t="s">
        <v>325</v>
      </c>
      <c r="M119" s="31" t="s">
        <v>326</v>
      </c>
      <c r="N119" s="4" t="s">
        <v>69</v>
      </c>
      <c r="O119" s="4" t="s">
        <v>417</v>
      </c>
      <c r="P119" s="4" t="s">
        <v>65</v>
      </c>
      <c r="Q119" s="31" t="s">
        <v>81</v>
      </c>
      <c r="R119" s="44" t="s">
        <v>128</v>
      </c>
      <c r="T119" s="4" t="s">
        <v>99</v>
      </c>
      <c r="U119" s="9" t="s">
        <v>427</v>
      </c>
      <c r="V119" s="31" t="s">
        <v>67</v>
      </c>
      <c r="W119" s="4">
        <f t="shared" si="20"/>
        <v>40</v>
      </c>
      <c r="X119" s="10">
        <v>46003</v>
      </c>
      <c r="Y119" s="10">
        <v>46045</v>
      </c>
      <c r="Z119" s="8">
        <v>46043</v>
      </c>
      <c r="AC119" s="31" t="s">
        <v>68</v>
      </c>
      <c r="AE119" s="4" t="s">
        <v>69</v>
      </c>
      <c r="AJ119" s="31" t="s">
        <v>70</v>
      </c>
      <c r="AK119" s="33">
        <v>46043</v>
      </c>
      <c r="AL119" s="31" t="s">
        <v>421</v>
      </c>
      <c r="AM119" s="72"/>
      <c r="AN119" s="33">
        <v>46233</v>
      </c>
      <c r="AP119" s="91"/>
      <c r="BG119" s="31">
        <v>822600007</v>
      </c>
      <c r="BH119" s="31">
        <v>100440</v>
      </c>
      <c r="BI119" s="31">
        <v>4850000081</v>
      </c>
    </row>
    <row r="120" spans="1:61" ht="14.25" customHeight="1" x14ac:dyDescent="0.3">
      <c r="A120" s="31" t="s">
        <v>94</v>
      </c>
      <c r="C120" s="40">
        <v>862501335</v>
      </c>
      <c r="D120" s="31">
        <v>462500515</v>
      </c>
      <c r="E120" s="4">
        <v>45503000574</v>
      </c>
      <c r="F120" s="64" t="s">
        <v>90</v>
      </c>
      <c r="G120" s="44" t="s">
        <v>123</v>
      </c>
      <c r="H120" s="71">
        <v>1</v>
      </c>
      <c r="I120" s="7" t="s">
        <v>64</v>
      </c>
      <c r="J120" s="32">
        <v>1790</v>
      </c>
      <c r="K120" s="32">
        <v>1840</v>
      </c>
      <c r="L120" s="31" t="s">
        <v>327</v>
      </c>
      <c r="M120" s="31" t="s">
        <v>328</v>
      </c>
      <c r="N120" s="4" t="s">
        <v>69</v>
      </c>
      <c r="O120" s="4" t="s">
        <v>417</v>
      </c>
      <c r="P120" s="4" t="s">
        <v>65</v>
      </c>
      <c r="Q120" s="31" t="s">
        <v>81</v>
      </c>
      <c r="R120" s="44" t="s">
        <v>128</v>
      </c>
      <c r="T120" s="4" t="s">
        <v>99</v>
      </c>
      <c r="U120" s="9" t="s">
        <v>427</v>
      </c>
      <c r="V120" s="31" t="s">
        <v>67</v>
      </c>
      <c r="W120" s="4">
        <f t="shared" si="20"/>
        <v>40</v>
      </c>
      <c r="X120" s="10">
        <v>46003</v>
      </c>
      <c r="Y120" s="10">
        <v>46045</v>
      </c>
      <c r="Z120" s="8">
        <v>46043</v>
      </c>
      <c r="AC120" s="31" t="s">
        <v>68</v>
      </c>
      <c r="AE120" s="4" t="s">
        <v>69</v>
      </c>
      <c r="AJ120" s="31" t="s">
        <v>70</v>
      </c>
      <c r="AK120" s="33">
        <v>46043</v>
      </c>
      <c r="AL120" s="31" t="s">
        <v>421</v>
      </c>
      <c r="AM120" s="72"/>
      <c r="AN120" s="33">
        <v>46233</v>
      </c>
      <c r="BG120" s="31">
        <v>822600007</v>
      </c>
      <c r="BH120" s="31">
        <v>100440</v>
      </c>
      <c r="BI120" s="31">
        <v>4850000081</v>
      </c>
    </row>
    <row r="121" spans="1:61" ht="14.25" customHeight="1" x14ac:dyDescent="0.3">
      <c r="A121" s="31" t="s">
        <v>411</v>
      </c>
      <c r="B121" s="16" t="s">
        <v>301</v>
      </c>
      <c r="C121" s="40">
        <v>862600381</v>
      </c>
      <c r="D121" s="31">
        <v>442500481</v>
      </c>
      <c r="F121" s="64" t="s">
        <v>116</v>
      </c>
      <c r="G121" s="44" t="s">
        <v>206</v>
      </c>
      <c r="H121" s="71">
        <v>9</v>
      </c>
      <c r="I121" s="7" t="s">
        <v>64</v>
      </c>
      <c r="J121" s="32">
        <v>81</v>
      </c>
      <c r="K121" s="32">
        <v>83</v>
      </c>
      <c r="L121" s="31" t="s">
        <v>331</v>
      </c>
      <c r="M121" s="31" t="s">
        <v>83</v>
      </c>
      <c r="O121" s="4" t="s">
        <v>418</v>
      </c>
      <c r="P121" s="4" t="s">
        <v>65</v>
      </c>
      <c r="Q121" s="31" t="s">
        <v>78</v>
      </c>
      <c r="R121" s="44" t="s">
        <v>332</v>
      </c>
      <c r="S121" s="4">
        <v>1</v>
      </c>
      <c r="T121" s="4" t="s">
        <v>99</v>
      </c>
      <c r="U121" s="9" t="s">
        <v>427</v>
      </c>
      <c r="V121" s="31" t="s">
        <v>67</v>
      </c>
      <c r="W121" s="4">
        <f t="shared" ref="W121:W180" si="21">_xlfn.DAYS(Z121,X121)</f>
        <v>56</v>
      </c>
      <c r="X121" s="10">
        <v>46200</v>
      </c>
      <c r="Y121" s="10">
        <v>46239</v>
      </c>
      <c r="Z121" s="106">
        <v>46256</v>
      </c>
      <c r="AC121" s="31" t="s">
        <v>330</v>
      </c>
      <c r="AD121" s="4" t="s">
        <v>333</v>
      </c>
      <c r="AE121" s="4" t="s">
        <v>69</v>
      </c>
    </row>
    <row r="122" spans="1:61" ht="14.25" customHeight="1" x14ac:dyDescent="0.3">
      <c r="A122" s="31" t="s">
        <v>412</v>
      </c>
      <c r="C122" s="40">
        <v>862600380</v>
      </c>
      <c r="D122" s="31">
        <v>442500485</v>
      </c>
      <c r="E122" s="4">
        <v>45407002518</v>
      </c>
      <c r="F122" s="64" t="s">
        <v>79</v>
      </c>
      <c r="G122" s="44" t="s">
        <v>133</v>
      </c>
      <c r="H122" s="71">
        <v>1</v>
      </c>
      <c r="I122" s="7" t="s">
        <v>64</v>
      </c>
      <c r="J122" s="32">
        <v>5614</v>
      </c>
      <c r="K122" s="32">
        <v>5714</v>
      </c>
      <c r="L122" s="31" t="s">
        <v>334</v>
      </c>
      <c r="M122" s="31">
        <v>2604106</v>
      </c>
      <c r="O122" s="4" t="s">
        <v>416</v>
      </c>
      <c r="P122" s="4" t="s">
        <v>65</v>
      </c>
      <c r="Q122" s="31" t="s">
        <v>78</v>
      </c>
      <c r="R122" s="44" t="s">
        <v>332</v>
      </c>
      <c r="T122" s="4" t="s">
        <v>99</v>
      </c>
      <c r="U122" s="9" t="s">
        <v>427</v>
      </c>
      <c r="V122" s="31" t="s">
        <v>67</v>
      </c>
      <c r="W122" s="4">
        <f t="shared" si="21"/>
        <v>56</v>
      </c>
      <c r="X122" s="10">
        <v>46200</v>
      </c>
      <c r="Y122" s="10">
        <v>46239</v>
      </c>
      <c r="Z122" s="106">
        <v>46256</v>
      </c>
      <c r="AC122" s="31" t="s">
        <v>330</v>
      </c>
      <c r="AD122" s="4" t="s">
        <v>333</v>
      </c>
      <c r="AE122" s="4" t="s">
        <v>69</v>
      </c>
    </row>
    <row r="123" spans="1:61" ht="14.25" customHeight="1" x14ac:dyDescent="0.3">
      <c r="A123" s="31" t="s">
        <v>412</v>
      </c>
      <c r="C123" s="40">
        <v>862600380</v>
      </c>
      <c r="D123" s="31">
        <v>442500485</v>
      </c>
      <c r="E123" s="4">
        <v>45407002518</v>
      </c>
      <c r="F123" s="64" t="s">
        <v>79</v>
      </c>
      <c r="G123" s="44" t="s">
        <v>133</v>
      </c>
      <c r="H123" s="71">
        <v>1</v>
      </c>
      <c r="I123" s="7" t="s">
        <v>64</v>
      </c>
      <c r="J123" s="32">
        <v>5614</v>
      </c>
      <c r="K123" s="32">
        <v>5714</v>
      </c>
      <c r="L123" s="31" t="s">
        <v>335</v>
      </c>
      <c r="M123" s="31">
        <v>2604107</v>
      </c>
      <c r="O123" s="4" t="s">
        <v>416</v>
      </c>
      <c r="P123" s="4" t="s">
        <v>65</v>
      </c>
      <c r="Q123" s="31" t="s">
        <v>78</v>
      </c>
      <c r="R123" s="44" t="s">
        <v>332</v>
      </c>
      <c r="T123" s="4" t="s">
        <v>99</v>
      </c>
      <c r="U123" s="9" t="s">
        <v>427</v>
      </c>
      <c r="V123" s="31" t="s">
        <v>67</v>
      </c>
      <c r="W123" s="4">
        <f t="shared" si="21"/>
        <v>56</v>
      </c>
      <c r="X123" s="10">
        <v>46200</v>
      </c>
      <c r="Y123" s="10">
        <v>46239</v>
      </c>
      <c r="Z123" s="106">
        <v>46256</v>
      </c>
      <c r="AC123" s="31" t="s">
        <v>330</v>
      </c>
      <c r="AD123" s="4" t="s">
        <v>333</v>
      </c>
      <c r="AE123" s="4" t="s">
        <v>69</v>
      </c>
    </row>
    <row r="124" spans="1:61" ht="14.25" customHeight="1" x14ac:dyDescent="0.3">
      <c r="A124" s="31" t="s">
        <v>412</v>
      </c>
      <c r="C124" s="40">
        <v>862600382</v>
      </c>
      <c r="D124" s="31">
        <v>442500485</v>
      </c>
      <c r="E124" s="4">
        <v>45407002466</v>
      </c>
      <c r="F124" s="64" t="s">
        <v>116</v>
      </c>
      <c r="G124" s="44" t="s">
        <v>271</v>
      </c>
      <c r="H124" s="71">
        <v>5</v>
      </c>
      <c r="I124" s="7" t="s">
        <v>64</v>
      </c>
      <c r="J124" s="32">
        <v>55</v>
      </c>
      <c r="K124" s="32">
        <v>60</v>
      </c>
      <c r="L124" s="31" t="s">
        <v>336</v>
      </c>
      <c r="M124" s="31" t="s">
        <v>83</v>
      </c>
      <c r="O124" s="4" t="s">
        <v>416</v>
      </c>
      <c r="P124" s="4" t="s">
        <v>65</v>
      </c>
      <c r="Q124" s="31" t="s">
        <v>78</v>
      </c>
      <c r="R124" s="44" t="s">
        <v>332</v>
      </c>
      <c r="T124" s="4" t="s">
        <v>99</v>
      </c>
      <c r="U124" s="9" t="s">
        <v>427</v>
      </c>
      <c r="V124" s="31" t="s">
        <v>67</v>
      </c>
      <c r="W124" s="4">
        <f t="shared" si="21"/>
        <v>56</v>
      </c>
      <c r="X124" s="10">
        <v>46200</v>
      </c>
      <c r="Y124" s="10">
        <v>46239</v>
      </c>
      <c r="Z124" s="106">
        <v>46256</v>
      </c>
      <c r="AC124" s="31" t="s">
        <v>330</v>
      </c>
      <c r="AD124" s="4" t="s">
        <v>333</v>
      </c>
      <c r="AE124" s="4" t="s">
        <v>69</v>
      </c>
    </row>
    <row r="125" spans="1:61" ht="14.25" customHeight="1" x14ac:dyDescent="0.3">
      <c r="A125" s="31" t="s">
        <v>412</v>
      </c>
      <c r="C125" s="40">
        <v>862600374</v>
      </c>
      <c r="D125" s="31">
        <v>442500485</v>
      </c>
      <c r="E125" s="4">
        <v>45407002518</v>
      </c>
      <c r="F125" s="64" t="s">
        <v>79</v>
      </c>
      <c r="G125" s="44" t="s">
        <v>133</v>
      </c>
      <c r="H125" s="71">
        <v>1</v>
      </c>
      <c r="I125" s="7" t="s">
        <v>64</v>
      </c>
      <c r="J125" s="32">
        <v>5614</v>
      </c>
      <c r="K125" s="32">
        <v>5714</v>
      </c>
      <c r="L125" s="31" t="s">
        <v>337</v>
      </c>
      <c r="M125" s="31">
        <v>2604104</v>
      </c>
      <c r="O125" s="4" t="s">
        <v>416</v>
      </c>
      <c r="P125" s="4" t="s">
        <v>65</v>
      </c>
      <c r="Q125" s="31" t="s">
        <v>78</v>
      </c>
      <c r="R125" s="44" t="s">
        <v>338</v>
      </c>
      <c r="S125" s="4">
        <v>1</v>
      </c>
      <c r="T125" s="4" t="s">
        <v>99</v>
      </c>
      <c r="U125" s="9" t="s">
        <v>427</v>
      </c>
      <c r="V125" s="31" t="s">
        <v>67</v>
      </c>
      <c r="W125" s="4">
        <f t="shared" si="21"/>
        <v>56</v>
      </c>
      <c r="X125" s="10">
        <v>46200</v>
      </c>
      <c r="Y125" s="10">
        <v>46239</v>
      </c>
      <c r="Z125" s="106">
        <v>46256</v>
      </c>
      <c r="AC125" s="31" t="s">
        <v>330</v>
      </c>
      <c r="AD125" s="4" t="s">
        <v>333</v>
      </c>
      <c r="AE125" s="4" t="s">
        <v>69</v>
      </c>
      <c r="AP125" s="66"/>
    </row>
    <row r="126" spans="1:61" ht="14.25" customHeight="1" x14ac:dyDescent="0.3">
      <c r="A126" s="31" t="s">
        <v>412</v>
      </c>
      <c r="C126" s="40">
        <v>862600374</v>
      </c>
      <c r="D126" s="31">
        <v>442500485</v>
      </c>
      <c r="E126" s="4">
        <v>45407002518</v>
      </c>
      <c r="F126" s="64" t="s">
        <v>79</v>
      </c>
      <c r="G126" s="44" t="s">
        <v>133</v>
      </c>
      <c r="H126" s="71">
        <v>1</v>
      </c>
      <c r="I126" s="7" t="s">
        <v>64</v>
      </c>
      <c r="J126" s="32">
        <v>5614</v>
      </c>
      <c r="K126" s="32">
        <v>5714</v>
      </c>
      <c r="L126" s="31" t="s">
        <v>339</v>
      </c>
      <c r="M126" s="31">
        <v>2604105</v>
      </c>
      <c r="O126" s="4" t="s">
        <v>416</v>
      </c>
      <c r="P126" s="4" t="s">
        <v>65</v>
      </c>
      <c r="Q126" s="31" t="s">
        <v>78</v>
      </c>
      <c r="R126" s="44" t="s">
        <v>338</v>
      </c>
      <c r="T126" s="4" t="s">
        <v>99</v>
      </c>
      <c r="U126" s="9" t="s">
        <v>427</v>
      </c>
      <c r="V126" s="31" t="s">
        <v>67</v>
      </c>
      <c r="W126" s="4">
        <f t="shared" si="21"/>
        <v>56</v>
      </c>
      <c r="X126" s="10">
        <v>46200</v>
      </c>
      <c r="Y126" s="10">
        <v>46239</v>
      </c>
      <c r="Z126" s="106">
        <v>46256</v>
      </c>
      <c r="AC126" s="31" t="s">
        <v>330</v>
      </c>
      <c r="AD126" s="4" t="s">
        <v>333</v>
      </c>
      <c r="AE126" s="4" t="s">
        <v>69</v>
      </c>
      <c r="AO126" s="64"/>
      <c r="AQ126" s="71"/>
    </row>
    <row r="127" spans="1:61" ht="14.25" customHeight="1" x14ac:dyDescent="0.3">
      <c r="A127" s="31" t="s">
        <v>411</v>
      </c>
      <c r="B127" s="16" t="s">
        <v>301</v>
      </c>
      <c r="C127" s="40">
        <v>862600369</v>
      </c>
      <c r="D127" s="31">
        <v>442500481</v>
      </c>
      <c r="E127" s="4">
        <v>45407002520</v>
      </c>
      <c r="F127" s="64" t="s">
        <v>79</v>
      </c>
      <c r="G127" s="44" t="s">
        <v>329</v>
      </c>
      <c r="H127" s="71">
        <v>1</v>
      </c>
      <c r="I127" s="7" t="s">
        <v>64</v>
      </c>
      <c r="J127" s="32">
        <v>3106</v>
      </c>
      <c r="K127" s="32">
        <v>3206</v>
      </c>
      <c r="L127" s="31" t="s">
        <v>340</v>
      </c>
      <c r="M127" s="31">
        <v>2604101</v>
      </c>
      <c r="O127" s="4" t="s">
        <v>418</v>
      </c>
      <c r="P127" s="4" t="s">
        <v>65</v>
      </c>
      <c r="Q127" s="31" t="s">
        <v>78</v>
      </c>
      <c r="R127" s="44" t="s">
        <v>341</v>
      </c>
      <c r="S127" s="4">
        <v>1</v>
      </c>
      <c r="T127" s="4" t="s">
        <v>99</v>
      </c>
      <c r="U127" s="9" t="s">
        <v>427</v>
      </c>
      <c r="V127" s="31" t="s">
        <v>67</v>
      </c>
      <c r="W127" s="4">
        <f t="shared" si="21"/>
        <v>56</v>
      </c>
      <c r="X127" s="10">
        <v>46200</v>
      </c>
      <c r="Y127" s="10">
        <v>46239</v>
      </c>
      <c r="Z127" s="106">
        <v>46256</v>
      </c>
      <c r="AC127" s="31" t="s">
        <v>330</v>
      </c>
      <c r="AD127" s="4" t="s">
        <v>333</v>
      </c>
      <c r="AE127" s="4" t="s">
        <v>69</v>
      </c>
      <c r="AP127" s="95"/>
    </row>
    <row r="128" spans="1:61" ht="14.25" customHeight="1" x14ac:dyDescent="0.3">
      <c r="A128" s="31" t="s">
        <v>411</v>
      </c>
      <c r="B128" s="16" t="s">
        <v>301</v>
      </c>
      <c r="C128" s="40">
        <v>862600369</v>
      </c>
      <c r="D128" s="31">
        <v>442500481</v>
      </c>
      <c r="E128" s="4">
        <v>45407002520</v>
      </c>
      <c r="F128" s="64" t="s">
        <v>79</v>
      </c>
      <c r="G128" s="44" t="s">
        <v>329</v>
      </c>
      <c r="H128" s="71">
        <v>1</v>
      </c>
      <c r="I128" s="7" t="s">
        <v>64</v>
      </c>
      <c r="J128" s="32">
        <v>3106</v>
      </c>
      <c r="K128" s="32">
        <v>3206</v>
      </c>
      <c r="L128" s="31" t="s">
        <v>342</v>
      </c>
      <c r="M128" s="31">
        <v>2604102</v>
      </c>
      <c r="O128" s="4" t="s">
        <v>418</v>
      </c>
      <c r="P128" s="4" t="s">
        <v>65</v>
      </c>
      <c r="Q128" s="31" t="s">
        <v>78</v>
      </c>
      <c r="R128" s="44" t="s">
        <v>341</v>
      </c>
      <c r="T128" s="4" t="s">
        <v>99</v>
      </c>
      <c r="U128" s="9" t="s">
        <v>427</v>
      </c>
      <c r="V128" s="31" t="s">
        <v>67</v>
      </c>
      <c r="W128" s="4">
        <f t="shared" si="21"/>
        <v>56</v>
      </c>
      <c r="X128" s="10">
        <v>46200</v>
      </c>
      <c r="Y128" s="10">
        <v>46239</v>
      </c>
      <c r="Z128" s="106">
        <v>46256</v>
      </c>
      <c r="AC128" s="31" t="s">
        <v>330</v>
      </c>
      <c r="AD128" s="4" t="s">
        <v>333</v>
      </c>
      <c r="AE128" s="4" t="s">
        <v>69</v>
      </c>
      <c r="AP128" s="3"/>
    </row>
    <row r="129" spans="1:43" ht="14.25" customHeight="1" x14ac:dyDescent="0.3">
      <c r="A129" s="31" t="s">
        <v>411</v>
      </c>
      <c r="B129" s="16" t="s">
        <v>301</v>
      </c>
      <c r="C129" s="40">
        <v>862600369</v>
      </c>
      <c r="D129" s="31">
        <v>442500481</v>
      </c>
      <c r="E129" s="4">
        <v>45407002520</v>
      </c>
      <c r="F129" s="64" t="s">
        <v>79</v>
      </c>
      <c r="G129" s="44" t="s">
        <v>329</v>
      </c>
      <c r="H129" s="71">
        <v>1</v>
      </c>
      <c r="I129" s="7" t="s">
        <v>64</v>
      </c>
      <c r="J129" s="32">
        <v>3106</v>
      </c>
      <c r="K129" s="32">
        <v>3206</v>
      </c>
      <c r="L129" s="31" t="s">
        <v>343</v>
      </c>
      <c r="M129" s="31">
        <v>2604103</v>
      </c>
      <c r="O129" s="4" t="s">
        <v>418</v>
      </c>
      <c r="P129" s="4" t="s">
        <v>65</v>
      </c>
      <c r="Q129" s="31" t="s">
        <v>78</v>
      </c>
      <c r="R129" s="44" t="s">
        <v>341</v>
      </c>
      <c r="T129" s="4" t="s">
        <v>99</v>
      </c>
      <c r="U129" s="9" t="s">
        <v>427</v>
      </c>
      <c r="V129" s="31" t="s">
        <v>67</v>
      </c>
      <c r="W129" s="4">
        <f t="shared" si="21"/>
        <v>56</v>
      </c>
      <c r="X129" s="10">
        <v>46200</v>
      </c>
      <c r="Y129" s="10">
        <v>46239</v>
      </c>
      <c r="Z129" s="106">
        <v>46256</v>
      </c>
      <c r="AC129" s="31" t="s">
        <v>330</v>
      </c>
      <c r="AD129" s="4" t="s">
        <v>333</v>
      </c>
      <c r="AE129" s="4" t="s">
        <v>69</v>
      </c>
      <c r="AP129" s="68"/>
    </row>
    <row r="130" spans="1:43" ht="14.25" customHeight="1" x14ac:dyDescent="0.3">
      <c r="A130" s="31" t="s">
        <v>412</v>
      </c>
      <c r="C130" s="40">
        <v>862600375</v>
      </c>
      <c r="D130" s="31">
        <v>442600114</v>
      </c>
      <c r="E130" s="4">
        <v>45503000619</v>
      </c>
      <c r="F130" s="64" t="s">
        <v>90</v>
      </c>
      <c r="G130" s="44" t="s">
        <v>344</v>
      </c>
      <c r="H130" s="71">
        <v>1</v>
      </c>
      <c r="I130" s="7" t="s">
        <v>64</v>
      </c>
      <c r="J130" s="32">
        <v>1950</v>
      </c>
      <c r="K130" s="32">
        <v>1990</v>
      </c>
      <c r="L130" s="31" t="s">
        <v>345</v>
      </c>
      <c r="M130" s="31" t="s">
        <v>83</v>
      </c>
      <c r="O130" s="4" t="s">
        <v>416</v>
      </c>
      <c r="P130" s="4" t="s">
        <v>65</v>
      </c>
      <c r="Q130" s="31" t="s">
        <v>78</v>
      </c>
      <c r="R130" s="44" t="s">
        <v>346</v>
      </c>
      <c r="S130" s="4">
        <v>1</v>
      </c>
      <c r="T130" s="4" t="s">
        <v>99</v>
      </c>
      <c r="U130" s="9" t="s">
        <v>427</v>
      </c>
      <c r="V130" s="31" t="s">
        <v>67</v>
      </c>
      <c r="W130" s="4">
        <f t="shared" si="21"/>
        <v>56</v>
      </c>
      <c r="X130" s="10">
        <v>46200</v>
      </c>
      <c r="Y130" s="10">
        <v>46239</v>
      </c>
      <c r="Z130" s="106">
        <v>46256</v>
      </c>
      <c r="AC130" s="31" t="s">
        <v>330</v>
      </c>
      <c r="AD130" s="4" t="s">
        <v>347</v>
      </c>
      <c r="AE130" s="4" t="s">
        <v>69</v>
      </c>
      <c r="AN130" s="33">
        <v>46259</v>
      </c>
      <c r="AO130" s="64"/>
      <c r="AP130" s="12"/>
      <c r="AQ130" s="71"/>
    </row>
    <row r="131" spans="1:43" ht="14.25" customHeight="1" x14ac:dyDescent="0.3">
      <c r="A131" s="31" t="s">
        <v>412</v>
      </c>
      <c r="C131" s="40">
        <v>862600375</v>
      </c>
      <c r="D131" s="31">
        <v>442600114</v>
      </c>
      <c r="E131" s="4">
        <v>45503000619</v>
      </c>
      <c r="F131" s="64" t="s">
        <v>90</v>
      </c>
      <c r="G131" s="44" t="s">
        <v>344</v>
      </c>
      <c r="H131" s="71">
        <v>1</v>
      </c>
      <c r="I131" s="7" t="s">
        <v>64</v>
      </c>
      <c r="J131" s="32">
        <v>1945</v>
      </c>
      <c r="K131" s="32">
        <v>1985</v>
      </c>
      <c r="L131" s="31" t="s">
        <v>348</v>
      </c>
      <c r="M131" s="31" t="s">
        <v>83</v>
      </c>
      <c r="O131" s="4" t="s">
        <v>416</v>
      </c>
      <c r="P131" s="4" t="s">
        <v>65</v>
      </c>
      <c r="Q131" s="31" t="s">
        <v>78</v>
      </c>
      <c r="R131" s="44" t="s">
        <v>346</v>
      </c>
      <c r="T131" s="4" t="s">
        <v>99</v>
      </c>
      <c r="U131" s="9" t="s">
        <v>427</v>
      </c>
      <c r="V131" s="31" t="s">
        <v>67</v>
      </c>
      <c r="W131" s="4">
        <f t="shared" si="21"/>
        <v>56</v>
      </c>
      <c r="X131" s="10">
        <v>46200</v>
      </c>
      <c r="Y131" s="10">
        <v>46239</v>
      </c>
      <c r="Z131" s="106">
        <v>46256</v>
      </c>
      <c r="AC131" s="31" t="s">
        <v>330</v>
      </c>
      <c r="AD131" s="4" t="s">
        <v>347</v>
      </c>
      <c r="AE131" s="4" t="s">
        <v>69</v>
      </c>
      <c r="AN131" s="33">
        <v>46259</v>
      </c>
      <c r="AO131" s="64"/>
      <c r="AP131" s="12"/>
      <c r="AQ131" s="71"/>
    </row>
    <row r="132" spans="1:43" ht="14.25" customHeight="1" x14ac:dyDescent="0.3">
      <c r="A132" s="31" t="s">
        <v>412</v>
      </c>
      <c r="C132" s="40">
        <v>862600375</v>
      </c>
      <c r="D132" s="31">
        <v>442600114</v>
      </c>
      <c r="E132" s="4">
        <v>45503000619</v>
      </c>
      <c r="F132" s="64" t="s">
        <v>90</v>
      </c>
      <c r="G132" s="44" t="s">
        <v>344</v>
      </c>
      <c r="H132" s="71">
        <v>1</v>
      </c>
      <c r="I132" s="7" t="s">
        <v>64</v>
      </c>
      <c r="J132" s="32">
        <v>1948</v>
      </c>
      <c r="K132" s="32">
        <v>1988</v>
      </c>
      <c r="L132" s="31" t="s">
        <v>349</v>
      </c>
      <c r="M132" s="31" t="s">
        <v>83</v>
      </c>
      <c r="O132" s="4" t="s">
        <v>416</v>
      </c>
      <c r="P132" s="4" t="s">
        <v>65</v>
      </c>
      <c r="Q132" s="31" t="s">
        <v>78</v>
      </c>
      <c r="R132" s="44" t="s">
        <v>346</v>
      </c>
      <c r="T132" s="4" t="s">
        <v>99</v>
      </c>
      <c r="U132" s="9" t="s">
        <v>427</v>
      </c>
      <c r="V132" s="31" t="s">
        <v>67</v>
      </c>
      <c r="W132" s="4">
        <f t="shared" si="21"/>
        <v>56</v>
      </c>
      <c r="X132" s="10">
        <v>46200</v>
      </c>
      <c r="Y132" s="10">
        <v>46239</v>
      </c>
      <c r="Z132" s="106">
        <v>46256</v>
      </c>
      <c r="AC132" s="31" t="s">
        <v>330</v>
      </c>
      <c r="AD132" s="4" t="s">
        <v>347</v>
      </c>
      <c r="AE132" s="4" t="s">
        <v>69</v>
      </c>
      <c r="AN132" s="33">
        <v>46259</v>
      </c>
      <c r="AO132" s="64"/>
      <c r="AP132" s="12"/>
      <c r="AQ132" s="71"/>
    </row>
    <row r="133" spans="1:43" ht="14.25" customHeight="1" x14ac:dyDescent="0.3">
      <c r="A133" s="31" t="s">
        <v>412</v>
      </c>
      <c r="C133" s="40">
        <v>862600375</v>
      </c>
      <c r="D133" s="31">
        <v>442600114</v>
      </c>
      <c r="E133" s="4">
        <v>45503000619</v>
      </c>
      <c r="F133" s="64" t="s">
        <v>90</v>
      </c>
      <c r="G133" s="44" t="s">
        <v>344</v>
      </c>
      <c r="H133" s="71">
        <v>1</v>
      </c>
      <c r="I133" s="7" t="s">
        <v>64</v>
      </c>
      <c r="J133" s="32">
        <v>1949</v>
      </c>
      <c r="K133" s="32">
        <v>1989</v>
      </c>
      <c r="L133" s="31" t="s">
        <v>350</v>
      </c>
      <c r="M133" s="31" t="s">
        <v>83</v>
      </c>
      <c r="O133" s="4" t="s">
        <v>416</v>
      </c>
      <c r="P133" s="4" t="s">
        <v>65</v>
      </c>
      <c r="Q133" s="31" t="s">
        <v>78</v>
      </c>
      <c r="R133" s="44" t="s">
        <v>346</v>
      </c>
      <c r="T133" s="4" t="s">
        <v>99</v>
      </c>
      <c r="U133" s="9" t="s">
        <v>427</v>
      </c>
      <c r="V133" s="31" t="s">
        <v>67</v>
      </c>
      <c r="W133" s="4">
        <f t="shared" si="21"/>
        <v>56</v>
      </c>
      <c r="X133" s="10">
        <v>46200</v>
      </c>
      <c r="Y133" s="10">
        <v>46239</v>
      </c>
      <c r="Z133" s="106">
        <v>46256</v>
      </c>
      <c r="AC133" s="31" t="s">
        <v>330</v>
      </c>
      <c r="AD133" s="4" t="s">
        <v>347</v>
      </c>
      <c r="AE133" s="4" t="s">
        <v>69</v>
      </c>
      <c r="AN133" s="33">
        <v>46259</v>
      </c>
      <c r="AO133" s="64"/>
      <c r="AP133" s="12"/>
      <c r="AQ133" s="71"/>
    </row>
    <row r="134" spans="1:43" ht="14.25" customHeight="1" x14ac:dyDescent="0.3">
      <c r="A134" s="31" t="s">
        <v>412</v>
      </c>
      <c r="C134" s="40">
        <v>862600375</v>
      </c>
      <c r="D134" s="31">
        <v>442600114</v>
      </c>
      <c r="E134" s="4">
        <v>45503000619</v>
      </c>
      <c r="F134" s="64" t="s">
        <v>90</v>
      </c>
      <c r="G134" s="44" t="s">
        <v>344</v>
      </c>
      <c r="H134" s="71">
        <v>1</v>
      </c>
      <c r="I134" s="7" t="s">
        <v>64</v>
      </c>
      <c r="J134" s="32">
        <v>1950</v>
      </c>
      <c r="K134" s="32">
        <v>1990</v>
      </c>
      <c r="L134" s="31" t="s">
        <v>351</v>
      </c>
      <c r="M134" s="31" t="s">
        <v>83</v>
      </c>
      <c r="O134" s="4" t="s">
        <v>416</v>
      </c>
      <c r="P134" s="4" t="s">
        <v>65</v>
      </c>
      <c r="Q134" s="31" t="s">
        <v>78</v>
      </c>
      <c r="R134" s="44" t="s">
        <v>346</v>
      </c>
      <c r="T134" s="4" t="s">
        <v>99</v>
      </c>
      <c r="U134" s="9" t="s">
        <v>427</v>
      </c>
      <c r="V134" s="31" t="s">
        <v>67</v>
      </c>
      <c r="W134" s="4">
        <f t="shared" si="21"/>
        <v>56</v>
      </c>
      <c r="X134" s="10">
        <v>46200</v>
      </c>
      <c r="Y134" s="10">
        <v>46239</v>
      </c>
      <c r="Z134" s="106">
        <v>46256</v>
      </c>
      <c r="AC134" s="31" t="s">
        <v>330</v>
      </c>
      <c r="AD134" s="4" t="s">
        <v>347</v>
      </c>
      <c r="AE134" s="4" t="s">
        <v>69</v>
      </c>
      <c r="AN134" s="33">
        <v>46259</v>
      </c>
      <c r="AO134" s="64"/>
      <c r="AP134" s="12"/>
      <c r="AQ134" s="71"/>
    </row>
    <row r="135" spans="1:43" ht="14.25" customHeight="1" x14ac:dyDescent="0.3">
      <c r="A135" s="31" t="s">
        <v>412</v>
      </c>
      <c r="C135" s="40">
        <v>862600375</v>
      </c>
      <c r="D135" s="31">
        <v>442600114</v>
      </c>
      <c r="E135" s="4">
        <v>45503000619</v>
      </c>
      <c r="F135" s="64" t="s">
        <v>90</v>
      </c>
      <c r="G135" s="44" t="s">
        <v>344</v>
      </c>
      <c r="H135" s="71">
        <v>1</v>
      </c>
      <c r="I135" s="7" t="s">
        <v>64</v>
      </c>
      <c r="J135" s="32">
        <v>1945</v>
      </c>
      <c r="K135" s="32">
        <v>1985</v>
      </c>
      <c r="L135" s="31" t="s">
        <v>352</v>
      </c>
      <c r="M135" s="31" t="s">
        <v>83</v>
      </c>
      <c r="O135" s="4" t="s">
        <v>416</v>
      </c>
      <c r="P135" s="4" t="s">
        <v>65</v>
      </c>
      <c r="Q135" s="31" t="s">
        <v>78</v>
      </c>
      <c r="R135" s="44" t="s">
        <v>346</v>
      </c>
      <c r="T135" s="4" t="s">
        <v>99</v>
      </c>
      <c r="U135" s="9" t="s">
        <v>427</v>
      </c>
      <c r="V135" s="31" t="s">
        <v>67</v>
      </c>
      <c r="W135" s="4">
        <f t="shared" si="21"/>
        <v>56</v>
      </c>
      <c r="X135" s="10">
        <v>46200</v>
      </c>
      <c r="Y135" s="10">
        <v>46239</v>
      </c>
      <c r="Z135" s="106">
        <v>46256</v>
      </c>
      <c r="AC135" s="31" t="s">
        <v>330</v>
      </c>
      <c r="AD135" s="4" t="s">
        <v>347</v>
      </c>
      <c r="AE135" s="4" t="s">
        <v>69</v>
      </c>
      <c r="AN135" s="33">
        <v>46259</v>
      </c>
      <c r="AO135" s="64"/>
      <c r="AP135" s="12"/>
      <c r="AQ135" s="71"/>
    </row>
    <row r="136" spans="1:43" ht="14.25" customHeight="1" x14ac:dyDescent="0.3">
      <c r="A136" s="31" t="s">
        <v>412</v>
      </c>
      <c r="C136" s="40">
        <v>862600375</v>
      </c>
      <c r="D136" s="31">
        <v>442600114</v>
      </c>
      <c r="E136" s="4">
        <v>45503000619</v>
      </c>
      <c r="F136" s="64" t="s">
        <v>90</v>
      </c>
      <c r="G136" s="44" t="s">
        <v>344</v>
      </c>
      <c r="H136" s="71">
        <v>1</v>
      </c>
      <c r="I136" s="7" t="s">
        <v>64</v>
      </c>
      <c r="J136" s="32">
        <v>1948</v>
      </c>
      <c r="K136" s="32">
        <v>1988</v>
      </c>
      <c r="L136" s="31" t="s">
        <v>353</v>
      </c>
      <c r="M136" s="31" t="s">
        <v>83</v>
      </c>
      <c r="O136" s="4" t="s">
        <v>416</v>
      </c>
      <c r="P136" s="4" t="s">
        <v>65</v>
      </c>
      <c r="Q136" s="31" t="s">
        <v>78</v>
      </c>
      <c r="R136" s="44" t="s">
        <v>346</v>
      </c>
      <c r="T136" s="4" t="s">
        <v>99</v>
      </c>
      <c r="U136" s="9" t="s">
        <v>427</v>
      </c>
      <c r="V136" s="31" t="s">
        <v>67</v>
      </c>
      <c r="W136" s="4">
        <f t="shared" si="21"/>
        <v>56</v>
      </c>
      <c r="X136" s="10">
        <v>46200</v>
      </c>
      <c r="Y136" s="10">
        <v>46239</v>
      </c>
      <c r="Z136" s="106">
        <v>46256</v>
      </c>
      <c r="AC136" s="31" t="s">
        <v>330</v>
      </c>
      <c r="AD136" s="4" t="s">
        <v>347</v>
      </c>
      <c r="AE136" s="4" t="s">
        <v>69</v>
      </c>
      <c r="AN136" s="33">
        <v>46259</v>
      </c>
      <c r="AO136" s="64"/>
      <c r="AP136" s="12"/>
      <c r="AQ136" s="71"/>
    </row>
    <row r="137" spans="1:43" ht="14.25" customHeight="1" x14ac:dyDescent="0.3">
      <c r="A137" s="31" t="s">
        <v>412</v>
      </c>
      <c r="C137" s="40">
        <v>862600375</v>
      </c>
      <c r="D137" s="31">
        <v>442600114</v>
      </c>
      <c r="E137" s="4">
        <v>45503000619</v>
      </c>
      <c r="F137" s="64" t="s">
        <v>90</v>
      </c>
      <c r="G137" s="44" t="s">
        <v>344</v>
      </c>
      <c r="H137" s="71">
        <v>1</v>
      </c>
      <c r="I137" s="7" t="s">
        <v>64</v>
      </c>
      <c r="J137" s="32">
        <v>1945</v>
      </c>
      <c r="K137" s="32">
        <v>1985</v>
      </c>
      <c r="L137" s="31" t="s">
        <v>354</v>
      </c>
      <c r="M137" s="31" t="s">
        <v>83</v>
      </c>
      <c r="O137" s="4" t="s">
        <v>416</v>
      </c>
      <c r="P137" s="4" t="s">
        <v>65</v>
      </c>
      <c r="Q137" s="31" t="s">
        <v>78</v>
      </c>
      <c r="R137" s="44" t="s">
        <v>346</v>
      </c>
      <c r="T137" s="4" t="s">
        <v>99</v>
      </c>
      <c r="U137" s="9" t="s">
        <v>427</v>
      </c>
      <c r="V137" s="31" t="s">
        <v>67</v>
      </c>
      <c r="W137" s="4">
        <f t="shared" si="21"/>
        <v>56</v>
      </c>
      <c r="X137" s="10">
        <v>46200</v>
      </c>
      <c r="Y137" s="10">
        <v>46239</v>
      </c>
      <c r="Z137" s="106">
        <v>46256</v>
      </c>
      <c r="AC137" s="31" t="s">
        <v>330</v>
      </c>
      <c r="AD137" s="4" t="s">
        <v>347</v>
      </c>
      <c r="AE137" s="4" t="s">
        <v>69</v>
      </c>
      <c r="AN137" s="33">
        <v>46259</v>
      </c>
      <c r="AO137" s="64"/>
      <c r="AP137" s="12"/>
      <c r="AQ137" s="71"/>
    </row>
    <row r="138" spans="1:43" ht="14.25" customHeight="1" x14ac:dyDescent="0.3">
      <c r="A138" s="31" t="s">
        <v>412</v>
      </c>
      <c r="C138" s="40">
        <v>862600491</v>
      </c>
      <c r="D138" s="31">
        <v>442500485</v>
      </c>
      <c r="E138" s="4">
        <v>45407002518</v>
      </c>
      <c r="F138" s="64" t="s">
        <v>79</v>
      </c>
      <c r="G138" s="44" t="s">
        <v>133</v>
      </c>
      <c r="H138" s="71">
        <v>1</v>
      </c>
      <c r="I138" s="7" t="s">
        <v>64</v>
      </c>
      <c r="J138" s="32">
        <v>5614</v>
      </c>
      <c r="K138" s="32">
        <v>5714</v>
      </c>
      <c r="L138" s="31" t="s">
        <v>355</v>
      </c>
      <c r="M138" s="31">
        <v>2604108</v>
      </c>
      <c r="O138" s="4" t="s">
        <v>418</v>
      </c>
      <c r="P138" s="4" t="s">
        <v>65</v>
      </c>
      <c r="Q138" s="31" t="s">
        <v>78</v>
      </c>
      <c r="R138" s="44" t="s">
        <v>356</v>
      </c>
      <c r="T138" s="4" t="s">
        <v>108</v>
      </c>
      <c r="U138" s="9" t="s">
        <v>427</v>
      </c>
      <c r="V138" s="31" t="s">
        <v>67</v>
      </c>
      <c r="W138" s="4">
        <f t="shared" si="21"/>
        <v>45</v>
      </c>
      <c r="X138" s="10">
        <v>46221</v>
      </c>
      <c r="Y138" s="10">
        <v>46270</v>
      </c>
      <c r="Z138" s="106">
        <v>46266</v>
      </c>
      <c r="AC138" s="31" t="s">
        <v>330</v>
      </c>
      <c r="AP138" s="86"/>
    </row>
    <row r="139" spans="1:43" ht="14.25" customHeight="1" x14ac:dyDescent="0.3">
      <c r="A139" s="31" t="s">
        <v>156</v>
      </c>
      <c r="C139" s="40">
        <v>862600492</v>
      </c>
      <c r="D139" s="31">
        <v>462600123</v>
      </c>
      <c r="E139" s="4">
        <v>45407002539</v>
      </c>
      <c r="F139" s="64" t="s">
        <v>116</v>
      </c>
      <c r="G139" s="44" t="s">
        <v>357</v>
      </c>
      <c r="H139" s="71">
        <v>7</v>
      </c>
      <c r="I139" s="7" t="s">
        <v>64</v>
      </c>
      <c r="J139" s="32">
        <v>63</v>
      </c>
      <c r="K139" s="32">
        <v>70</v>
      </c>
      <c r="L139" s="31" t="s">
        <v>358</v>
      </c>
      <c r="M139" s="31" t="s">
        <v>83</v>
      </c>
      <c r="O139" s="4" t="s">
        <v>418</v>
      </c>
      <c r="P139" s="4" t="s">
        <v>65</v>
      </c>
      <c r="Q139" s="31" t="s">
        <v>78</v>
      </c>
      <c r="R139" s="44" t="s">
        <v>356</v>
      </c>
      <c r="S139" s="4">
        <v>1</v>
      </c>
      <c r="T139" s="4" t="s">
        <v>108</v>
      </c>
      <c r="U139" s="9" t="s">
        <v>427</v>
      </c>
      <c r="V139" s="31" t="s">
        <v>67</v>
      </c>
      <c r="W139" s="4">
        <f t="shared" si="21"/>
        <v>45</v>
      </c>
      <c r="X139" s="10">
        <v>46221</v>
      </c>
      <c r="Y139" s="10">
        <v>46270</v>
      </c>
      <c r="Z139" s="106">
        <v>46266</v>
      </c>
      <c r="AC139" s="31" t="s">
        <v>330</v>
      </c>
      <c r="AO139" s="64"/>
      <c r="AQ139" s="71"/>
    </row>
    <row r="140" spans="1:43" ht="14.25" customHeight="1" x14ac:dyDescent="0.3">
      <c r="A140" s="31" t="s">
        <v>94</v>
      </c>
      <c r="B140" s="16" t="s">
        <v>359</v>
      </c>
      <c r="C140" s="40">
        <v>862600632</v>
      </c>
      <c r="D140" s="31">
        <v>462600105</v>
      </c>
      <c r="E140" s="4">
        <v>45503000619</v>
      </c>
      <c r="F140" s="64" t="s">
        <v>90</v>
      </c>
      <c r="G140" s="44" t="s">
        <v>344</v>
      </c>
      <c r="H140" s="71">
        <v>1</v>
      </c>
      <c r="I140" s="7" t="s">
        <v>64</v>
      </c>
      <c r="J140" s="32">
        <v>1950</v>
      </c>
      <c r="K140" s="32">
        <v>2000</v>
      </c>
      <c r="L140" s="31" t="s">
        <v>360</v>
      </c>
      <c r="M140" s="31" t="s">
        <v>83</v>
      </c>
      <c r="O140" s="4" t="s">
        <v>417</v>
      </c>
      <c r="P140" s="4" t="s">
        <v>65</v>
      </c>
      <c r="Q140" s="31" t="s">
        <v>81</v>
      </c>
      <c r="R140" s="44" t="s">
        <v>361</v>
      </c>
      <c r="S140" s="4">
        <v>1</v>
      </c>
      <c r="T140" s="4" t="s">
        <v>99</v>
      </c>
      <c r="U140" s="9" t="s">
        <v>427</v>
      </c>
      <c r="V140" s="31" t="s">
        <v>67</v>
      </c>
      <c r="W140" s="4">
        <f t="shared" si="21"/>
        <v>38</v>
      </c>
      <c r="X140" s="10">
        <v>46242</v>
      </c>
      <c r="Y140" s="10">
        <v>46282</v>
      </c>
      <c r="Z140" s="8">
        <v>46280</v>
      </c>
      <c r="AC140" s="31" t="s">
        <v>330</v>
      </c>
    </row>
    <row r="141" spans="1:43" ht="14.25" customHeight="1" x14ac:dyDescent="0.3">
      <c r="A141" s="31" t="s">
        <v>94</v>
      </c>
      <c r="B141" s="16" t="s">
        <v>359</v>
      </c>
      <c r="C141" s="40">
        <v>862600632</v>
      </c>
      <c r="D141" s="31">
        <v>462600105</v>
      </c>
      <c r="E141" s="4">
        <v>45503000619</v>
      </c>
      <c r="F141" s="64" t="s">
        <v>90</v>
      </c>
      <c r="G141" s="44" t="s">
        <v>344</v>
      </c>
      <c r="H141" s="71">
        <v>1</v>
      </c>
      <c r="I141" s="7" t="s">
        <v>64</v>
      </c>
      <c r="J141" s="32">
        <v>1945</v>
      </c>
      <c r="K141" s="32">
        <v>1995</v>
      </c>
      <c r="L141" s="31" t="s">
        <v>362</v>
      </c>
      <c r="M141" s="31" t="s">
        <v>83</v>
      </c>
      <c r="O141" s="4" t="s">
        <v>417</v>
      </c>
      <c r="P141" s="4" t="s">
        <v>65</v>
      </c>
      <c r="Q141" s="31" t="s">
        <v>81</v>
      </c>
      <c r="R141" s="44" t="s">
        <v>361</v>
      </c>
      <c r="T141" s="4" t="s">
        <v>99</v>
      </c>
      <c r="U141" s="9" t="s">
        <v>427</v>
      </c>
      <c r="V141" s="31" t="s">
        <v>67</v>
      </c>
      <c r="W141" s="4">
        <f t="shared" si="21"/>
        <v>38</v>
      </c>
      <c r="X141" s="10">
        <v>46242</v>
      </c>
      <c r="Y141" s="10">
        <v>46282</v>
      </c>
      <c r="Z141" s="8">
        <v>46280</v>
      </c>
      <c r="AC141" s="31" t="s">
        <v>330</v>
      </c>
    </row>
    <row r="142" spans="1:43" ht="14.25" customHeight="1" x14ac:dyDescent="0.3">
      <c r="A142" s="31" t="s">
        <v>94</v>
      </c>
      <c r="B142" s="16" t="s">
        <v>359</v>
      </c>
      <c r="C142" s="40">
        <v>862600632</v>
      </c>
      <c r="D142" s="31">
        <v>462600105</v>
      </c>
      <c r="E142" s="4">
        <v>45503000619</v>
      </c>
      <c r="F142" s="64" t="s">
        <v>90</v>
      </c>
      <c r="G142" s="44" t="s">
        <v>344</v>
      </c>
      <c r="H142" s="71">
        <v>1</v>
      </c>
      <c r="I142" s="7" t="s">
        <v>64</v>
      </c>
      <c r="J142" s="32">
        <v>1948</v>
      </c>
      <c r="K142" s="32">
        <v>1998</v>
      </c>
      <c r="L142" s="31" t="s">
        <v>363</v>
      </c>
      <c r="M142" s="31" t="s">
        <v>83</v>
      </c>
      <c r="O142" s="4" t="s">
        <v>417</v>
      </c>
      <c r="P142" s="4" t="s">
        <v>65</v>
      </c>
      <c r="Q142" s="31" t="s">
        <v>81</v>
      </c>
      <c r="R142" s="44" t="s">
        <v>361</v>
      </c>
      <c r="T142" s="4" t="s">
        <v>99</v>
      </c>
      <c r="U142" s="9" t="s">
        <v>427</v>
      </c>
      <c r="V142" s="31" t="s">
        <v>67</v>
      </c>
      <c r="W142" s="4">
        <f t="shared" si="21"/>
        <v>38</v>
      </c>
      <c r="X142" s="10">
        <v>46242</v>
      </c>
      <c r="Y142" s="10">
        <v>46282</v>
      </c>
      <c r="Z142" s="8">
        <v>46280</v>
      </c>
      <c r="AC142" s="31" t="s">
        <v>330</v>
      </c>
    </row>
    <row r="143" spans="1:43" ht="14.25" customHeight="1" x14ac:dyDescent="0.3">
      <c r="A143" s="31" t="s">
        <v>94</v>
      </c>
      <c r="B143" s="16" t="s">
        <v>359</v>
      </c>
      <c r="C143" s="40">
        <v>862600632</v>
      </c>
      <c r="D143" s="31">
        <v>462600105</v>
      </c>
      <c r="E143" s="4">
        <v>45503000619</v>
      </c>
      <c r="F143" s="64" t="s">
        <v>90</v>
      </c>
      <c r="G143" s="44" t="s">
        <v>344</v>
      </c>
      <c r="H143" s="71">
        <v>1</v>
      </c>
      <c r="I143" s="7" t="s">
        <v>64</v>
      </c>
      <c r="J143" s="32">
        <v>1950</v>
      </c>
      <c r="K143" s="32">
        <v>2000</v>
      </c>
      <c r="L143" s="31" t="s">
        <v>364</v>
      </c>
      <c r="M143" s="31" t="s">
        <v>83</v>
      </c>
      <c r="O143" s="4" t="s">
        <v>417</v>
      </c>
      <c r="P143" s="4" t="s">
        <v>65</v>
      </c>
      <c r="Q143" s="31" t="s">
        <v>81</v>
      </c>
      <c r="R143" s="44" t="s">
        <v>361</v>
      </c>
      <c r="T143" s="4" t="s">
        <v>99</v>
      </c>
      <c r="U143" s="9" t="s">
        <v>427</v>
      </c>
      <c r="V143" s="31" t="s">
        <v>67</v>
      </c>
      <c r="W143" s="4">
        <f t="shared" si="21"/>
        <v>38</v>
      </c>
      <c r="X143" s="10">
        <v>46242</v>
      </c>
      <c r="Y143" s="10">
        <v>46282</v>
      </c>
      <c r="Z143" s="8">
        <v>46280</v>
      </c>
      <c r="AC143" s="31" t="s">
        <v>330</v>
      </c>
    </row>
    <row r="144" spans="1:43" ht="14.25" customHeight="1" x14ac:dyDescent="0.3">
      <c r="A144" s="31" t="s">
        <v>94</v>
      </c>
      <c r="B144" s="16" t="s">
        <v>359</v>
      </c>
      <c r="C144" s="40">
        <v>862600632</v>
      </c>
      <c r="D144" s="31">
        <v>462600105</v>
      </c>
      <c r="E144" s="4">
        <v>45503000619</v>
      </c>
      <c r="F144" s="64" t="s">
        <v>90</v>
      </c>
      <c r="G144" s="44" t="s">
        <v>344</v>
      </c>
      <c r="H144" s="71">
        <v>1</v>
      </c>
      <c r="I144" s="7" t="s">
        <v>64</v>
      </c>
      <c r="J144" s="32">
        <v>1954</v>
      </c>
      <c r="K144" s="32">
        <v>2004</v>
      </c>
      <c r="L144" s="31" t="s">
        <v>365</v>
      </c>
      <c r="M144" s="31" t="s">
        <v>83</v>
      </c>
      <c r="O144" s="4" t="s">
        <v>417</v>
      </c>
      <c r="P144" s="4" t="s">
        <v>65</v>
      </c>
      <c r="Q144" s="31" t="s">
        <v>81</v>
      </c>
      <c r="R144" s="44" t="s">
        <v>361</v>
      </c>
      <c r="T144" s="4" t="s">
        <v>99</v>
      </c>
      <c r="U144" s="9" t="s">
        <v>427</v>
      </c>
      <c r="V144" s="31" t="s">
        <v>67</v>
      </c>
      <c r="W144" s="4">
        <f t="shared" si="21"/>
        <v>38</v>
      </c>
      <c r="X144" s="10">
        <v>46242</v>
      </c>
      <c r="Y144" s="10">
        <v>46282</v>
      </c>
      <c r="Z144" s="8">
        <v>46280</v>
      </c>
      <c r="AC144" s="31" t="s">
        <v>330</v>
      </c>
    </row>
    <row r="145" spans="1:43" ht="14.25" customHeight="1" x14ac:dyDescent="0.3">
      <c r="A145" s="31" t="s">
        <v>94</v>
      </c>
      <c r="B145" s="16" t="s">
        <v>359</v>
      </c>
      <c r="C145" s="40">
        <v>862600632</v>
      </c>
      <c r="D145" s="31">
        <v>462600105</v>
      </c>
      <c r="E145" s="4">
        <v>45503000619</v>
      </c>
      <c r="F145" s="64" t="s">
        <v>90</v>
      </c>
      <c r="G145" s="44" t="s">
        <v>344</v>
      </c>
      <c r="H145" s="71">
        <v>1</v>
      </c>
      <c r="I145" s="7" t="s">
        <v>64</v>
      </c>
      <c r="J145" s="32">
        <v>1955</v>
      </c>
      <c r="K145" s="32">
        <v>2005</v>
      </c>
      <c r="L145" s="31" t="s">
        <v>366</v>
      </c>
      <c r="M145" s="31" t="s">
        <v>83</v>
      </c>
      <c r="O145" s="4" t="s">
        <v>417</v>
      </c>
      <c r="P145" s="4" t="s">
        <v>65</v>
      </c>
      <c r="Q145" s="31" t="s">
        <v>81</v>
      </c>
      <c r="R145" s="44" t="s">
        <v>361</v>
      </c>
      <c r="T145" s="4" t="s">
        <v>99</v>
      </c>
      <c r="U145" s="9" t="s">
        <v>427</v>
      </c>
      <c r="V145" s="31" t="s">
        <v>67</v>
      </c>
      <c r="W145" s="4">
        <f t="shared" si="21"/>
        <v>38</v>
      </c>
      <c r="X145" s="10">
        <v>46242</v>
      </c>
      <c r="Y145" s="10">
        <v>46282</v>
      </c>
      <c r="Z145" s="8">
        <v>46280</v>
      </c>
      <c r="AC145" s="31" t="s">
        <v>330</v>
      </c>
    </row>
    <row r="146" spans="1:43" ht="14.25" customHeight="1" x14ac:dyDescent="0.3">
      <c r="A146" s="31" t="s">
        <v>94</v>
      </c>
      <c r="B146" s="16" t="s">
        <v>359</v>
      </c>
      <c r="C146" s="40">
        <v>862600632</v>
      </c>
      <c r="D146" s="31">
        <v>462600105</v>
      </c>
      <c r="E146" s="4">
        <v>45503000619</v>
      </c>
      <c r="F146" s="64" t="s">
        <v>90</v>
      </c>
      <c r="G146" s="44" t="s">
        <v>344</v>
      </c>
      <c r="H146" s="71">
        <v>1</v>
      </c>
      <c r="I146" s="7" t="s">
        <v>64</v>
      </c>
      <c r="J146" s="32">
        <v>1953</v>
      </c>
      <c r="K146" s="32">
        <v>2003</v>
      </c>
      <c r="L146" s="31" t="s">
        <v>367</v>
      </c>
      <c r="M146" s="31" t="s">
        <v>83</v>
      </c>
      <c r="O146" s="4" t="s">
        <v>417</v>
      </c>
      <c r="P146" s="4" t="s">
        <v>65</v>
      </c>
      <c r="Q146" s="31" t="s">
        <v>81</v>
      </c>
      <c r="R146" s="44" t="s">
        <v>361</v>
      </c>
      <c r="T146" s="4" t="s">
        <v>99</v>
      </c>
      <c r="U146" s="9" t="s">
        <v>427</v>
      </c>
      <c r="V146" s="31" t="s">
        <v>67</v>
      </c>
      <c r="W146" s="4">
        <f t="shared" si="21"/>
        <v>38</v>
      </c>
      <c r="X146" s="10">
        <v>46242</v>
      </c>
      <c r="Y146" s="10">
        <v>46282</v>
      </c>
      <c r="Z146" s="8">
        <v>46280</v>
      </c>
      <c r="AC146" s="31" t="s">
        <v>330</v>
      </c>
    </row>
    <row r="147" spans="1:43" ht="14.25" customHeight="1" x14ac:dyDescent="0.3">
      <c r="A147" s="31" t="s">
        <v>94</v>
      </c>
      <c r="B147" s="16" t="s">
        <v>359</v>
      </c>
      <c r="C147" s="40">
        <v>862600632</v>
      </c>
      <c r="D147" s="31">
        <v>462600105</v>
      </c>
      <c r="E147" s="4">
        <v>45503000619</v>
      </c>
      <c r="F147" s="64" t="s">
        <v>90</v>
      </c>
      <c r="G147" s="44" t="s">
        <v>344</v>
      </c>
      <c r="H147" s="71">
        <v>1</v>
      </c>
      <c r="I147" s="7" t="s">
        <v>64</v>
      </c>
      <c r="J147" s="32">
        <v>1952</v>
      </c>
      <c r="K147" s="32">
        <v>2002</v>
      </c>
      <c r="L147" s="31" t="s">
        <v>368</v>
      </c>
      <c r="M147" s="31" t="s">
        <v>83</v>
      </c>
      <c r="O147" s="4" t="s">
        <v>417</v>
      </c>
      <c r="P147" s="4" t="s">
        <v>65</v>
      </c>
      <c r="Q147" s="31" t="s">
        <v>81</v>
      </c>
      <c r="R147" s="44" t="s">
        <v>361</v>
      </c>
      <c r="T147" s="4" t="s">
        <v>99</v>
      </c>
      <c r="U147" s="9" t="s">
        <v>427</v>
      </c>
      <c r="V147" s="31" t="s">
        <v>67</v>
      </c>
      <c r="W147" s="4">
        <f t="shared" si="21"/>
        <v>38</v>
      </c>
      <c r="X147" s="10">
        <v>46242</v>
      </c>
      <c r="Y147" s="10">
        <v>46282</v>
      </c>
      <c r="Z147" s="8">
        <v>46280</v>
      </c>
      <c r="AC147" s="31" t="s">
        <v>330</v>
      </c>
    </row>
    <row r="148" spans="1:43" ht="14.25" customHeight="1" x14ac:dyDescent="0.3">
      <c r="A148" s="31" t="s">
        <v>412</v>
      </c>
      <c r="C148" s="40">
        <v>862600590</v>
      </c>
      <c r="D148" s="31">
        <v>442600114</v>
      </c>
      <c r="E148" s="4">
        <v>45503000619</v>
      </c>
      <c r="F148" s="64" t="s">
        <v>90</v>
      </c>
      <c r="G148" s="44" t="s">
        <v>344</v>
      </c>
      <c r="H148" s="71">
        <v>1</v>
      </c>
      <c r="I148" s="7" t="s">
        <v>64</v>
      </c>
      <c r="J148" s="32">
        <v>1950</v>
      </c>
      <c r="K148" s="32">
        <v>1990</v>
      </c>
      <c r="L148" s="31" t="s">
        <v>369</v>
      </c>
      <c r="M148" s="31" t="s">
        <v>83</v>
      </c>
      <c r="O148" s="4" t="s">
        <v>416</v>
      </c>
      <c r="P148" s="4" t="s">
        <v>65</v>
      </c>
      <c r="Q148" s="31" t="s">
        <v>78</v>
      </c>
      <c r="R148" s="44" t="s">
        <v>370</v>
      </c>
      <c r="S148" s="4">
        <v>1</v>
      </c>
      <c r="T148" s="4" t="s">
        <v>99</v>
      </c>
      <c r="U148" s="9" t="s">
        <v>427</v>
      </c>
      <c r="V148" s="31" t="s">
        <v>67</v>
      </c>
      <c r="W148" s="4">
        <f t="shared" si="21"/>
        <v>40</v>
      </c>
      <c r="X148" s="10">
        <v>46242</v>
      </c>
      <c r="Y148" s="10">
        <v>46284</v>
      </c>
      <c r="Z148" s="8">
        <v>46282</v>
      </c>
      <c r="AC148" s="31" t="s">
        <v>330</v>
      </c>
      <c r="AO148" s="64"/>
      <c r="AP148" s="12"/>
      <c r="AQ148" s="71"/>
    </row>
    <row r="149" spans="1:43" ht="14.25" customHeight="1" x14ac:dyDescent="0.3">
      <c r="A149" s="31" t="s">
        <v>412</v>
      </c>
      <c r="C149" s="40">
        <v>862600590</v>
      </c>
      <c r="D149" s="31">
        <v>442600114</v>
      </c>
      <c r="E149" s="4">
        <v>45503000619</v>
      </c>
      <c r="F149" s="64" t="s">
        <v>90</v>
      </c>
      <c r="G149" s="44" t="s">
        <v>344</v>
      </c>
      <c r="H149" s="71">
        <v>1</v>
      </c>
      <c r="I149" s="7" t="s">
        <v>64</v>
      </c>
      <c r="J149" s="32">
        <v>1952</v>
      </c>
      <c r="K149" s="32">
        <v>2002</v>
      </c>
      <c r="L149" s="31" t="s">
        <v>371</v>
      </c>
      <c r="M149" s="31" t="s">
        <v>83</v>
      </c>
      <c r="O149" s="4" t="s">
        <v>416</v>
      </c>
      <c r="P149" s="4" t="s">
        <v>65</v>
      </c>
      <c r="Q149" s="31" t="s">
        <v>78</v>
      </c>
      <c r="R149" s="44" t="s">
        <v>370</v>
      </c>
      <c r="T149" s="4" t="s">
        <v>99</v>
      </c>
      <c r="U149" s="9" t="s">
        <v>427</v>
      </c>
      <c r="V149" s="31" t="s">
        <v>67</v>
      </c>
      <c r="W149" s="4">
        <f t="shared" si="21"/>
        <v>40</v>
      </c>
      <c r="X149" s="10">
        <v>46242</v>
      </c>
      <c r="Y149" s="10">
        <v>46284</v>
      </c>
      <c r="Z149" s="8">
        <v>46282</v>
      </c>
      <c r="AC149" s="31" t="s">
        <v>330</v>
      </c>
      <c r="AO149" s="64"/>
      <c r="AP149" s="12"/>
      <c r="AQ149" s="71"/>
    </row>
    <row r="150" spans="1:43" ht="14.25" customHeight="1" x14ac:dyDescent="0.3">
      <c r="A150" s="31" t="s">
        <v>412</v>
      </c>
      <c r="C150" s="40">
        <v>862600590</v>
      </c>
      <c r="D150" s="31">
        <v>442600114</v>
      </c>
      <c r="E150" s="4">
        <v>45503000619</v>
      </c>
      <c r="F150" s="64" t="s">
        <v>90</v>
      </c>
      <c r="G150" s="44" t="s">
        <v>344</v>
      </c>
      <c r="H150" s="71">
        <v>1</v>
      </c>
      <c r="I150" s="7" t="s">
        <v>64</v>
      </c>
      <c r="J150" s="32">
        <v>1949</v>
      </c>
      <c r="K150" s="32">
        <v>1999</v>
      </c>
      <c r="L150" s="31" t="s">
        <v>372</v>
      </c>
      <c r="M150" s="31" t="s">
        <v>83</v>
      </c>
      <c r="O150" s="4" t="s">
        <v>416</v>
      </c>
      <c r="P150" s="4" t="s">
        <v>65</v>
      </c>
      <c r="Q150" s="31" t="s">
        <v>78</v>
      </c>
      <c r="R150" s="44" t="s">
        <v>370</v>
      </c>
      <c r="T150" s="4" t="s">
        <v>99</v>
      </c>
      <c r="U150" s="9" t="s">
        <v>427</v>
      </c>
      <c r="V150" s="31" t="s">
        <v>67</v>
      </c>
      <c r="W150" s="4">
        <f t="shared" si="21"/>
        <v>40</v>
      </c>
      <c r="X150" s="10">
        <v>46242</v>
      </c>
      <c r="Y150" s="10">
        <v>46284</v>
      </c>
      <c r="Z150" s="8">
        <v>46282</v>
      </c>
      <c r="AC150" s="31" t="s">
        <v>330</v>
      </c>
      <c r="AO150" s="64"/>
      <c r="AP150" s="12"/>
      <c r="AQ150" s="71"/>
    </row>
    <row r="151" spans="1:43" ht="14.25" customHeight="1" x14ac:dyDescent="0.3">
      <c r="A151" s="31" t="s">
        <v>412</v>
      </c>
      <c r="C151" s="40">
        <v>862600590</v>
      </c>
      <c r="D151" s="31">
        <v>442600114</v>
      </c>
      <c r="E151" s="4">
        <v>45503000619</v>
      </c>
      <c r="F151" s="64" t="s">
        <v>90</v>
      </c>
      <c r="G151" s="44" t="s">
        <v>344</v>
      </c>
      <c r="H151" s="71">
        <v>1</v>
      </c>
      <c r="I151" s="7" t="s">
        <v>64</v>
      </c>
      <c r="J151" s="32">
        <v>1948</v>
      </c>
      <c r="K151" s="32">
        <v>1998</v>
      </c>
      <c r="L151" s="31" t="s">
        <v>373</v>
      </c>
      <c r="M151" s="31" t="s">
        <v>83</v>
      </c>
      <c r="O151" s="4" t="s">
        <v>416</v>
      </c>
      <c r="P151" s="4" t="s">
        <v>65</v>
      </c>
      <c r="Q151" s="31" t="s">
        <v>78</v>
      </c>
      <c r="R151" s="44" t="s">
        <v>370</v>
      </c>
      <c r="T151" s="4" t="s">
        <v>99</v>
      </c>
      <c r="U151" s="9" t="s">
        <v>427</v>
      </c>
      <c r="V151" s="31" t="s">
        <v>67</v>
      </c>
      <c r="W151" s="4">
        <f t="shared" si="21"/>
        <v>40</v>
      </c>
      <c r="X151" s="10">
        <v>46242</v>
      </c>
      <c r="Y151" s="10">
        <v>46284</v>
      </c>
      <c r="Z151" s="8">
        <v>46282</v>
      </c>
      <c r="AC151" s="31" t="s">
        <v>330</v>
      </c>
      <c r="AO151" s="64"/>
      <c r="AP151" s="12"/>
      <c r="AQ151" s="71"/>
    </row>
    <row r="152" spans="1:43" ht="14.25" customHeight="1" x14ac:dyDescent="0.3">
      <c r="A152" s="31" t="s">
        <v>412</v>
      </c>
      <c r="C152" s="40">
        <v>862600590</v>
      </c>
      <c r="D152" s="31">
        <v>442600114</v>
      </c>
      <c r="E152" s="4">
        <v>45503000619</v>
      </c>
      <c r="F152" s="64" t="s">
        <v>90</v>
      </c>
      <c r="G152" s="44" t="s">
        <v>344</v>
      </c>
      <c r="H152" s="71">
        <v>1</v>
      </c>
      <c r="I152" s="7" t="s">
        <v>64</v>
      </c>
      <c r="J152" s="32">
        <v>1942</v>
      </c>
      <c r="K152" s="32">
        <v>1992</v>
      </c>
      <c r="L152" s="31" t="s">
        <v>374</v>
      </c>
      <c r="M152" s="31" t="s">
        <v>83</v>
      </c>
      <c r="O152" s="4" t="s">
        <v>416</v>
      </c>
      <c r="P152" s="4" t="s">
        <v>65</v>
      </c>
      <c r="Q152" s="31" t="s">
        <v>78</v>
      </c>
      <c r="R152" s="44" t="s">
        <v>370</v>
      </c>
      <c r="T152" s="4" t="s">
        <v>99</v>
      </c>
      <c r="U152" s="9" t="s">
        <v>427</v>
      </c>
      <c r="V152" s="31" t="s">
        <v>67</v>
      </c>
      <c r="W152" s="4">
        <f t="shared" si="21"/>
        <v>40</v>
      </c>
      <c r="X152" s="10">
        <v>46242</v>
      </c>
      <c r="Y152" s="10">
        <v>46284</v>
      </c>
      <c r="Z152" s="8">
        <v>46282</v>
      </c>
      <c r="AC152" s="31" t="s">
        <v>330</v>
      </c>
      <c r="AO152" s="64"/>
      <c r="AP152" s="12"/>
      <c r="AQ152" s="71"/>
    </row>
    <row r="153" spans="1:43" ht="14.25" customHeight="1" x14ac:dyDescent="0.3">
      <c r="A153" s="31" t="s">
        <v>412</v>
      </c>
      <c r="C153" s="40">
        <v>862600590</v>
      </c>
      <c r="D153" s="31">
        <v>442600114</v>
      </c>
      <c r="E153" s="4">
        <v>45503000619</v>
      </c>
      <c r="F153" s="64" t="s">
        <v>90</v>
      </c>
      <c r="G153" s="44" t="s">
        <v>344</v>
      </c>
      <c r="H153" s="71">
        <v>1</v>
      </c>
      <c r="I153" s="7" t="s">
        <v>64</v>
      </c>
      <c r="J153" s="32">
        <v>1950</v>
      </c>
      <c r="K153" s="32">
        <v>2000</v>
      </c>
      <c r="L153" s="31" t="s">
        <v>375</v>
      </c>
      <c r="M153" s="31" t="s">
        <v>83</v>
      </c>
      <c r="O153" s="4" t="s">
        <v>416</v>
      </c>
      <c r="P153" s="4" t="s">
        <v>65</v>
      </c>
      <c r="Q153" s="31" t="s">
        <v>78</v>
      </c>
      <c r="R153" s="44" t="s">
        <v>370</v>
      </c>
      <c r="T153" s="4" t="s">
        <v>99</v>
      </c>
      <c r="U153" s="9" t="s">
        <v>427</v>
      </c>
      <c r="V153" s="31" t="s">
        <v>67</v>
      </c>
      <c r="W153" s="4">
        <f t="shared" si="21"/>
        <v>40</v>
      </c>
      <c r="X153" s="10">
        <v>46242</v>
      </c>
      <c r="Y153" s="10">
        <v>46284</v>
      </c>
      <c r="Z153" s="8">
        <v>46282</v>
      </c>
      <c r="AC153" s="31" t="s">
        <v>330</v>
      </c>
      <c r="AO153" s="64"/>
      <c r="AP153" s="12"/>
      <c r="AQ153" s="71"/>
    </row>
    <row r="154" spans="1:43" ht="14.25" customHeight="1" x14ac:dyDescent="0.3">
      <c r="A154" s="31" t="s">
        <v>412</v>
      </c>
      <c r="C154" s="40">
        <v>862600590</v>
      </c>
      <c r="D154" s="31">
        <v>442600114</v>
      </c>
      <c r="E154" s="4">
        <v>45503000619</v>
      </c>
      <c r="F154" s="64" t="s">
        <v>90</v>
      </c>
      <c r="G154" s="44" t="s">
        <v>344</v>
      </c>
      <c r="H154" s="71">
        <v>1</v>
      </c>
      <c r="I154" s="7" t="s">
        <v>64</v>
      </c>
      <c r="J154" s="32">
        <v>1945</v>
      </c>
      <c r="K154" s="32">
        <v>1995</v>
      </c>
      <c r="L154" s="31" t="s">
        <v>376</v>
      </c>
      <c r="M154" s="31" t="s">
        <v>83</v>
      </c>
      <c r="O154" s="4" t="s">
        <v>416</v>
      </c>
      <c r="P154" s="4" t="s">
        <v>65</v>
      </c>
      <c r="Q154" s="31" t="s">
        <v>78</v>
      </c>
      <c r="R154" s="44" t="s">
        <v>370</v>
      </c>
      <c r="T154" s="4" t="s">
        <v>99</v>
      </c>
      <c r="U154" s="9" t="s">
        <v>427</v>
      </c>
      <c r="V154" s="31" t="s">
        <v>67</v>
      </c>
      <c r="W154" s="4">
        <f t="shared" si="21"/>
        <v>40</v>
      </c>
      <c r="X154" s="10">
        <v>46242</v>
      </c>
      <c r="Y154" s="10">
        <v>46284</v>
      </c>
      <c r="Z154" s="8">
        <v>46282</v>
      </c>
      <c r="AC154" s="31" t="s">
        <v>330</v>
      </c>
      <c r="AO154" s="64"/>
      <c r="AP154" s="12"/>
      <c r="AQ154" s="71"/>
    </row>
    <row r="155" spans="1:43" ht="14.25" customHeight="1" x14ac:dyDescent="0.3">
      <c r="A155" s="31" t="s">
        <v>412</v>
      </c>
      <c r="C155" s="40">
        <v>862600590</v>
      </c>
      <c r="D155" s="31">
        <v>442600114</v>
      </c>
      <c r="E155" s="4">
        <v>45503000619</v>
      </c>
      <c r="F155" s="64" t="s">
        <v>90</v>
      </c>
      <c r="G155" s="44" t="s">
        <v>344</v>
      </c>
      <c r="H155" s="71">
        <v>1</v>
      </c>
      <c r="I155" s="7" t="s">
        <v>64</v>
      </c>
      <c r="J155" s="32">
        <v>1947</v>
      </c>
      <c r="K155" s="32">
        <v>1997</v>
      </c>
      <c r="L155" s="31" t="s">
        <v>377</v>
      </c>
      <c r="M155" s="31" t="s">
        <v>83</v>
      </c>
      <c r="O155" s="4" t="s">
        <v>416</v>
      </c>
      <c r="P155" s="4" t="s">
        <v>65</v>
      </c>
      <c r="Q155" s="31" t="s">
        <v>78</v>
      </c>
      <c r="R155" s="44" t="s">
        <v>370</v>
      </c>
      <c r="T155" s="4" t="s">
        <v>99</v>
      </c>
      <c r="U155" s="9" t="s">
        <v>427</v>
      </c>
      <c r="V155" s="31" t="s">
        <v>67</v>
      </c>
      <c r="W155" s="4">
        <f t="shared" si="21"/>
        <v>40</v>
      </c>
      <c r="X155" s="10">
        <v>46242</v>
      </c>
      <c r="Y155" s="10">
        <v>46284</v>
      </c>
      <c r="Z155" s="8">
        <v>46282</v>
      </c>
      <c r="AC155" s="31" t="s">
        <v>330</v>
      </c>
      <c r="AO155" s="64"/>
      <c r="AP155" s="12"/>
      <c r="AQ155" s="71"/>
    </row>
    <row r="156" spans="1:43" ht="14.25" customHeight="1" x14ac:dyDescent="0.3">
      <c r="A156" s="31" t="s">
        <v>414</v>
      </c>
      <c r="B156" s="16" t="s">
        <v>378</v>
      </c>
      <c r="C156" s="40">
        <v>862600649</v>
      </c>
      <c r="D156" s="31">
        <v>442600156</v>
      </c>
      <c r="E156" s="4">
        <v>45824002042</v>
      </c>
      <c r="F156" s="64" t="s">
        <v>153</v>
      </c>
      <c r="G156" s="44" t="s">
        <v>199</v>
      </c>
      <c r="H156" s="71">
        <v>32</v>
      </c>
      <c r="I156" s="7" t="s">
        <v>64</v>
      </c>
      <c r="J156" s="32">
        <v>10067</v>
      </c>
      <c r="K156" s="32">
        <v>10099</v>
      </c>
      <c r="L156" s="31" t="s">
        <v>422</v>
      </c>
      <c r="M156" s="31" t="s">
        <v>83</v>
      </c>
      <c r="O156" s="4" t="s">
        <v>417</v>
      </c>
      <c r="P156" s="4" t="s">
        <v>65</v>
      </c>
      <c r="Q156" s="31" t="s">
        <v>81</v>
      </c>
      <c r="R156" s="44" t="s">
        <v>379</v>
      </c>
      <c r="S156" s="4">
        <v>1</v>
      </c>
      <c r="T156" s="4" t="s">
        <v>163</v>
      </c>
      <c r="U156" s="9" t="s">
        <v>427</v>
      </c>
      <c r="V156" s="31" t="s">
        <v>67</v>
      </c>
      <c r="W156" s="4">
        <f t="shared" si="21"/>
        <v>42</v>
      </c>
      <c r="X156" s="10">
        <v>46249</v>
      </c>
      <c r="Y156" s="10">
        <v>46291</v>
      </c>
      <c r="Z156" s="8">
        <v>46291</v>
      </c>
      <c r="AC156" s="31" t="s">
        <v>330</v>
      </c>
    </row>
    <row r="157" spans="1:43" ht="14.25" customHeight="1" x14ac:dyDescent="0.3">
      <c r="A157" s="31" t="s">
        <v>414</v>
      </c>
      <c r="B157" s="16" t="s">
        <v>378</v>
      </c>
      <c r="C157" s="40">
        <v>862600649</v>
      </c>
      <c r="D157" s="31">
        <v>442600156</v>
      </c>
      <c r="E157" s="4">
        <v>45824002043</v>
      </c>
      <c r="F157" s="64" t="s">
        <v>153</v>
      </c>
      <c r="G157" s="44" t="s">
        <v>200</v>
      </c>
      <c r="H157" s="71">
        <v>32</v>
      </c>
      <c r="I157" s="7" t="s">
        <v>64</v>
      </c>
      <c r="J157" s="32">
        <v>13182</v>
      </c>
      <c r="K157" s="32">
        <v>13214</v>
      </c>
      <c r="L157" s="31" t="s">
        <v>423</v>
      </c>
      <c r="M157" s="31" t="s">
        <v>83</v>
      </c>
      <c r="O157" s="4" t="s">
        <v>417</v>
      </c>
      <c r="P157" s="4" t="s">
        <v>65</v>
      </c>
      <c r="Q157" s="31" t="s">
        <v>81</v>
      </c>
      <c r="R157" s="44" t="s">
        <v>379</v>
      </c>
      <c r="T157" s="4" t="s">
        <v>163</v>
      </c>
      <c r="U157" s="9" t="s">
        <v>427</v>
      </c>
      <c r="V157" s="31" t="s">
        <v>67</v>
      </c>
      <c r="W157" s="4">
        <f t="shared" si="21"/>
        <v>42</v>
      </c>
      <c r="X157" s="10">
        <v>46249</v>
      </c>
      <c r="Y157" s="10">
        <v>46291</v>
      </c>
      <c r="Z157" s="8">
        <v>46291</v>
      </c>
      <c r="AC157" s="31" t="s">
        <v>330</v>
      </c>
    </row>
    <row r="158" spans="1:43" ht="14.25" customHeight="1" x14ac:dyDescent="0.3">
      <c r="A158" s="31" t="s">
        <v>410</v>
      </c>
      <c r="B158" s="16" t="s">
        <v>380</v>
      </c>
      <c r="C158" s="40">
        <v>862600578</v>
      </c>
      <c r="D158" s="31">
        <v>462600223</v>
      </c>
      <c r="E158" s="4">
        <v>25403000654</v>
      </c>
      <c r="F158" s="64" t="s">
        <v>79</v>
      </c>
      <c r="G158" s="44" t="s">
        <v>381</v>
      </c>
      <c r="H158" s="71">
        <v>1</v>
      </c>
      <c r="I158" s="7" t="s">
        <v>64</v>
      </c>
      <c r="J158" s="32">
        <v>3080</v>
      </c>
      <c r="K158" s="32">
        <v>3180</v>
      </c>
      <c r="L158" s="31" t="s">
        <v>382</v>
      </c>
      <c r="M158" s="31">
        <v>2606018</v>
      </c>
      <c r="O158" s="4" t="s">
        <v>417</v>
      </c>
      <c r="P158" s="4" t="s">
        <v>65</v>
      </c>
      <c r="Q158" s="31" t="s">
        <v>124</v>
      </c>
      <c r="R158" s="44" t="s">
        <v>383</v>
      </c>
      <c r="S158" s="4">
        <v>1</v>
      </c>
      <c r="T158" s="4" t="s">
        <v>163</v>
      </c>
      <c r="U158" s="9" t="s">
        <v>427</v>
      </c>
      <c r="V158" s="31" t="s">
        <v>67</v>
      </c>
      <c r="W158" s="4">
        <f t="shared" si="21"/>
        <v>52</v>
      </c>
      <c r="X158" s="10">
        <v>46242</v>
      </c>
      <c r="Y158" s="10">
        <v>46294</v>
      </c>
      <c r="Z158" s="8">
        <v>46294</v>
      </c>
      <c r="AC158" s="31" t="s">
        <v>330</v>
      </c>
    </row>
    <row r="159" spans="1:43" ht="14.25" customHeight="1" x14ac:dyDescent="0.3">
      <c r="A159" s="31" t="s">
        <v>410</v>
      </c>
      <c r="B159" s="16" t="s">
        <v>380</v>
      </c>
      <c r="C159" s="40">
        <v>862600578</v>
      </c>
      <c r="D159" s="31">
        <v>462600223</v>
      </c>
      <c r="E159" s="4">
        <v>25403000654</v>
      </c>
      <c r="F159" s="64" t="s">
        <v>79</v>
      </c>
      <c r="G159" s="44" t="s">
        <v>381</v>
      </c>
      <c r="H159" s="71">
        <v>1</v>
      </c>
      <c r="I159" s="7" t="s">
        <v>64</v>
      </c>
      <c r="J159" s="32">
        <v>3080</v>
      </c>
      <c r="K159" s="32">
        <v>3180</v>
      </c>
      <c r="L159" s="31" t="s">
        <v>384</v>
      </c>
      <c r="M159" s="31">
        <v>2606019</v>
      </c>
      <c r="O159" s="4" t="s">
        <v>417</v>
      </c>
      <c r="P159" s="4" t="s">
        <v>65</v>
      </c>
      <c r="Q159" s="31" t="s">
        <v>124</v>
      </c>
      <c r="R159" s="44" t="s">
        <v>383</v>
      </c>
      <c r="T159" s="4" t="s">
        <v>163</v>
      </c>
      <c r="U159" s="9" t="s">
        <v>427</v>
      </c>
      <c r="V159" s="31" t="s">
        <v>67</v>
      </c>
      <c r="W159" s="4">
        <f t="shared" si="21"/>
        <v>52</v>
      </c>
      <c r="X159" s="10">
        <v>46242</v>
      </c>
      <c r="Y159" s="10">
        <v>46294</v>
      </c>
      <c r="Z159" s="8">
        <v>46294</v>
      </c>
      <c r="AC159" s="31" t="s">
        <v>330</v>
      </c>
    </row>
    <row r="160" spans="1:43" ht="14.25" customHeight="1" x14ac:dyDescent="0.3">
      <c r="A160" s="31" t="s">
        <v>410</v>
      </c>
      <c r="B160" s="16" t="s">
        <v>380</v>
      </c>
      <c r="C160" s="40">
        <v>862600578</v>
      </c>
      <c r="D160" s="31">
        <v>462600223</v>
      </c>
      <c r="E160" s="4">
        <v>25403000654</v>
      </c>
      <c r="F160" s="64" t="s">
        <v>79</v>
      </c>
      <c r="G160" s="44" t="s">
        <v>381</v>
      </c>
      <c r="H160" s="71">
        <v>1</v>
      </c>
      <c r="I160" s="7" t="s">
        <v>64</v>
      </c>
      <c r="J160" s="32">
        <v>3080</v>
      </c>
      <c r="K160" s="32">
        <v>3180</v>
      </c>
      <c r="L160" s="31" t="s">
        <v>385</v>
      </c>
      <c r="M160" s="31">
        <v>2606021</v>
      </c>
      <c r="O160" s="4" t="s">
        <v>417</v>
      </c>
      <c r="P160" s="4" t="s">
        <v>65</v>
      </c>
      <c r="Q160" s="31" t="s">
        <v>124</v>
      </c>
      <c r="R160" s="44" t="s">
        <v>383</v>
      </c>
      <c r="T160" s="4" t="s">
        <v>163</v>
      </c>
      <c r="U160" s="9" t="s">
        <v>427</v>
      </c>
      <c r="V160" s="31" t="s">
        <v>67</v>
      </c>
      <c r="W160" s="4">
        <f t="shared" si="21"/>
        <v>52</v>
      </c>
      <c r="X160" s="10">
        <v>46242</v>
      </c>
      <c r="Y160" s="10">
        <v>46294</v>
      </c>
      <c r="Z160" s="8">
        <v>46294</v>
      </c>
      <c r="AC160" s="31" t="s">
        <v>330</v>
      </c>
    </row>
    <row r="161" spans="1:29" ht="14.25" customHeight="1" x14ac:dyDescent="0.3">
      <c r="A161" s="31" t="s">
        <v>410</v>
      </c>
      <c r="B161" s="16" t="s">
        <v>380</v>
      </c>
      <c r="C161" s="40">
        <v>862600578</v>
      </c>
      <c r="D161" s="31">
        <v>462600223</v>
      </c>
      <c r="E161" s="4">
        <v>25403000422</v>
      </c>
      <c r="F161" s="64" t="s">
        <v>84</v>
      </c>
      <c r="G161" s="44" t="s">
        <v>85</v>
      </c>
      <c r="H161" s="71">
        <v>1</v>
      </c>
      <c r="I161" s="7" t="s">
        <v>64</v>
      </c>
      <c r="J161" s="32">
        <v>33</v>
      </c>
      <c r="K161" s="32">
        <v>35</v>
      </c>
      <c r="L161" s="31" t="s">
        <v>386</v>
      </c>
      <c r="M161" s="31">
        <v>2606018</v>
      </c>
      <c r="O161" s="4" t="s">
        <v>417</v>
      </c>
      <c r="P161" s="4" t="s">
        <v>65</v>
      </c>
      <c r="Q161" s="31" t="s">
        <v>124</v>
      </c>
      <c r="R161" s="44" t="s">
        <v>383</v>
      </c>
      <c r="T161" s="4" t="s">
        <v>163</v>
      </c>
      <c r="U161" s="9" t="s">
        <v>427</v>
      </c>
      <c r="V161" s="31" t="s">
        <v>67</v>
      </c>
      <c r="W161" s="4">
        <f t="shared" si="21"/>
        <v>52</v>
      </c>
      <c r="X161" s="10">
        <v>46242</v>
      </c>
      <c r="Y161" s="10">
        <v>46294</v>
      </c>
      <c r="Z161" s="8">
        <v>46294</v>
      </c>
      <c r="AC161" s="31" t="s">
        <v>330</v>
      </c>
    </row>
    <row r="162" spans="1:29" ht="14.25" customHeight="1" x14ac:dyDescent="0.3">
      <c r="A162" s="31" t="s">
        <v>410</v>
      </c>
      <c r="B162" s="16" t="s">
        <v>380</v>
      </c>
      <c r="C162" s="40">
        <v>862600578</v>
      </c>
      <c r="D162" s="31">
        <v>462600223</v>
      </c>
      <c r="E162" s="4">
        <v>25403000422</v>
      </c>
      <c r="F162" s="64" t="s">
        <v>84</v>
      </c>
      <c r="G162" s="44" t="s">
        <v>85</v>
      </c>
      <c r="H162" s="71">
        <v>1</v>
      </c>
      <c r="I162" s="7" t="s">
        <v>64</v>
      </c>
      <c r="J162" s="32">
        <v>33</v>
      </c>
      <c r="K162" s="32">
        <v>35</v>
      </c>
      <c r="L162" s="31" t="s">
        <v>387</v>
      </c>
      <c r="M162" s="31">
        <v>2606021</v>
      </c>
      <c r="O162" s="4" t="s">
        <v>417</v>
      </c>
      <c r="P162" s="4" t="s">
        <v>65</v>
      </c>
      <c r="Q162" s="31" t="s">
        <v>124</v>
      </c>
      <c r="R162" s="44" t="s">
        <v>383</v>
      </c>
      <c r="T162" s="4" t="s">
        <v>163</v>
      </c>
      <c r="U162" s="9" t="s">
        <v>427</v>
      </c>
      <c r="V162" s="31" t="s">
        <v>67</v>
      </c>
      <c r="W162" s="4">
        <f t="shared" si="21"/>
        <v>52</v>
      </c>
      <c r="X162" s="10">
        <v>46242</v>
      </c>
      <c r="Y162" s="10">
        <v>46294</v>
      </c>
      <c r="Z162" s="8">
        <v>46294</v>
      </c>
      <c r="AC162" s="31" t="s">
        <v>330</v>
      </c>
    </row>
    <row r="163" spans="1:29" ht="14.25" customHeight="1" x14ac:dyDescent="0.3">
      <c r="A163" s="31" t="s">
        <v>410</v>
      </c>
      <c r="B163" s="16" t="s">
        <v>380</v>
      </c>
      <c r="C163" s="40">
        <v>862600578</v>
      </c>
      <c r="D163" s="31">
        <v>462600223</v>
      </c>
      <c r="E163" s="4">
        <v>25403000422</v>
      </c>
      <c r="F163" s="64" t="s">
        <v>84</v>
      </c>
      <c r="G163" s="44" t="s">
        <v>85</v>
      </c>
      <c r="H163" s="71">
        <v>1</v>
      </c>
      <c r="I163" s="7" t="s">
        <v>64</v>
      </c>
      <c r="J163" s="32">
        <v>33</v>
      </c>
      <c r="K163" s="32">
        <v>35</v>
      </c>
      <c r="L163" s="31" t="s">
        <v>388</v>
      </c>
      <c r="M163" s="31">
        <v>2606019</v>
      </c>
      <c r="O163" s="4" t="s">
        <v>417</v>
      </c>
      <c r="P163" s="4" t="s">
        <v>65</v>
      </c>
      <c r="Q163" s="31" t="s">
        <v>124</v>
      </c>
      <c r="R163" s="44" t="s">
        <v>383</v>
      </c>
      <c r="T163" s="4" t="s">
        <v>163</v>
      </c>
      <c r="U163" s="9" t="s">
        <v>427</v>
      </c>
      <c r="V163" s="31" t="s">
        <v>67</v>
      </c>
      <c r="W163" s="4">
        <f t="shared" si="21"/>
        <v>52</v>
      </c>
      <c r="X163" s="10">
        <v>46242</v>
      </c>
      <c r="Y163" s="10">
        <v>46294</v>
      </c>
      <c r="Z163" s="8">
        <v>46294</v>
      </c>
      <c r="AC163" s="31" t="s">
        <v>330</v>
      </c>
    </row>
    <row r="164" spans="1:29" ht="14.25" customHeight="1" x14ac:dyDescent="0.3">
      <c r="A164" s="31" t="s">
        <v>410</v>
      </c>
      <c r="B164" s="16" t="s">
        <v>380</v>
      </c>
      <c r="C164" s="40">
        <v>862600635</v>
      </c>
      <c r="D164" s="31">
        <v>462600223</v>
      </c>
      <c r="E164" s="4">
        <v>25403000654</v>
      </c>
      <c r="F164" s="64" t="s">
        <v>79</v>
      </c>
      <c r="G164" s="44" t="s">
        <v>381</v>
      </c>
      <c r="H164" s="71">
        <v>1</v>
      </c>
      <c r="I164" s="7" t="s">
        <v>64</v>
      </c>
      <c r="J164" s="32">
        <v>3080</v>
      </c>
      <c r="K164" s="32">
        <v>3180</v>
      </c>
      <c r="L164" s="31" t="s">
        <v>389</v>
      </c>
      <c r="M164" s="31">
        <v>2606020</v>
      </c>
      <c r="O164" s="4" t="s">
        <v>417</v>
      </c>
      <c r="P164" s="4" t="s">
        <v>65</v>
      </c>
      <c r="Q164" s="31" t="s">
        <v>124</v>
      </c>
      <c r="R164" s="44" t="s">
        <v>390</v>
      </c>
      <c r="S164" s="4">
        <v>1</v>
      </c>
      <c r="T164" s="4" t="s">
        <v>163</v>
      </c>
      <c r="U164" s="9" t="s">
        <v>427</v>
      </c>
      <c r="V164" s="31" t="s">
        <v>67</v>
      </c>
      <c r="W164" s="4">
        <f t="shared" si="21"/>
        <v>52</v>
      </c>
      <c r="X164" s="10">
        <v>46242</v>
      </c>
      <c r="Y164" s="10">
        <v>46294</v>
      </c>
      <c r="Z164" s="8">
        <v>46294</v>
      </c>
      <c r="AC164" s="31" t="s">
        <v>330</v>
      </c>
    </row>
    <row r="165" spans="1:29" ht="14.25" customHeight="1" x14ac:dyDescent="0.3">
      <c r="A165" s="31" t="s">
        <v>410</v>
      </c>
      <c r="B165" s="16" t="s">
        <v>380</v>
      </c>
      <c r="C165" s="40">
        <v>862600635</v>
      </c>
      <c r="D165" s="31">
        <v>462600223</v>
      </c>
      <c r="E165" s="4">
        <v>25403000654</v>
      </c>
      <c r="F165" s="64" t="s">
        <v>79</v>
      </c>
      <c r="G165" s="44" t="s">
        <v>381</v>
      </c>
      <c r="H165" s="71">
        <v>1</v>
      </c>
      <c r="I165" s="7" t="s">
        <v>64</v>
      </c>
      <c r="J165" s="32">
        <v>3080</v>
      </c>
      <c r="K165" s="32">
        <v>3180</v>
      </c>
      <c r="L165" s="31" t="s">
        <v>391</v>
      </c>
      <c r="M165" s="31">
        <v>2606022</v>
      </c>
      <c r="O165" s="4" t="s">
        <v>417</v>
      </c>
      <c r="P165" s="4" t="s">
        <v>65</v>
      </c>
      <c r="Q165" s="31" t="s">
        <v>124</v>
      </c>
      <c r="R165" s="44" t="s">
        <v>390</v>
      </c>
      <c r="T165" s="4" t="s">
        <v>163</v>
      </c>
      <c r="U165" s="9" t="s">
        <v>427</v>
      </c>
      <c r="V165" s="31" t="s">
        <v>67</v>
      </c>
      <c r="W165" s="4">
        <f t="shared" si="21"/>
        <v>52</v>
      </c>
      <c r="X165" s="10">
        <v>46242</v>
      </c>
      <c r="Y165" s="10">
        <v>46294</v>
      </c>
      <c r="Z165" s="8">
        <v>46294</v>
      </c>
      <c r="AC165" s="31" t="s">
        <v>330</v>
      </c>
    </row>
    <row r="166" spans="1:29" ht="14.25" customHeight="1" x14ac:dyDescent="0.3">
      <c r="A166" s="31" t="s">
        <v>410</v>
      </c>
      <c r="B166" s="16" t="s">
        <v>380</v>
      </c>
      <c r="C166" s="40">
        <v>862600635</v>
      </c>
      <c r="D166" s="31">
        <v>462600223</v>
      </c>
      <c r="E166" s="4">
        <v>25403000654</v>
      </c>
      <c r="F166" s="64" t="s">
        <v>79</v>
      </c>
      <c r="G166" s="44" t="s">
        <v>381</v>
      </c>
      <c r="H166" s="71">
        <v>1</v>
      </c>
      <c r="I166" s="7" t="s">
        <v>64</v>
      </c>
      <c r="J166" s="32">
        <v>3080</v>
      </c>
      <c r="K166" s="32">
        <v>3180</v>
      </c>
      <c r="L166" s="31" t="s">
        <v>392</v>
      </c>
      <c r="M166" s="31">
        <v>2606025</v>
      </c>
      <c r="O166" s="4" t="s">
        <v>417</v>
      </c>
      <c r="P166" s="4" t="s">
        <v>65</v>
      </c>
      <c r="Q166" s="31" t="s">
        <v>124</v>
      </c>
      <c r="R166" s="44" t="s">
        <v>390</v>
      </c>
      <c r="T166" s="4" t="s">
        <v>163</v>
      </c>
      <c r="U166" s="9" t="s">
        <v>427</v>
      </c>
      <c r="V166" s="31" t="s">
        <v>67</v>
      </c>
      <c r="W166" s="4">
        <f t="shared" si="21"/>
        <v>52</v>
      </c>
      <c r="X166" s="10">
        <v>46242</v>
      </c>
      <c r="Y166" s="10">
        <v>46294</v>
      </c>
      <c r="Z166" s="8">
        <v>46294</v>
      </c>
      <c r="AC166" s="31" t="s">
        <v>330</v>
      </c>
    </row>
    <row r="167" spans="1:29" ht="14.25" customHeight="1" x14ac:dyDescent="0.3">
      <c r="A167" s="31" t="s">
        <v>410</v>
      </c>
      <c r="B167" s="16" t="s">
        <v>380</v>
      </c>
      <c r="C167" s="40">
        <v>862600635</v>
      </c>
      <c r="D167" s="31">
        <v>462600223</v>
      </c>
      <c r="E167" s="4">
        <v>25403000422</v>
      </c>
      <c r="F167" s="64" t="s">
        <v>84</v>
      </c>
      <c r="G167" s="44" t="s">
        <v>85</v>
      </c>
      <c r="H167" s="71">
        <v>1</v>
      </c>
      <c r="I167" s="7" t="s">
        <v>64</v>
      </c>
      <c r="J167" s="32">
        <v>33</v>
      </c>
      <c r="K167" s="32">
        <v>35</v>
      </c>
      <c r="L167" s="31" t="s">
        <v>393</v>
      </c>
      <c r="M167" s="31">
        <v>2606022</v>
      </c>
      <c r="O167" s="4" t="s">
        <v>417</v>
      </c>
      <c r="P167" s="4" t="s">
        <v>65</v>
      </c>
      <c r="Q167" s="31" t="s">
        <v>124</v>
      </c>
      <c r="R167" s="44" t="s">
        <v>390</v>
      </c>
      <c r="T167" s="4" t="s">
        <v>163</v>
      </c>
      <c r="U167" s="9" t="s">
        <v>427</v>
      </c>
      <c r="V167" s="31" t="s">
        <v>67</v>
      </c>
      <c r="W167" s="4">
        <f t="shared" si="21"/>
        <v>52</v>
      </c>
      <c r="X167" s="10">
        <v>46242</v>
      </c>
      <c r="Y167" s="10">
        <v>46294</v>
      </c>
      <c r="Z167" s="8">
        <v>46294</v>
      </c>
      <c r="AC167" s="31" t="s">
        <v>330</v>
      </c>
    </row>
    <row r="168" spans="1:29" ht="14.25" customHeight="1" x14ac:dyDescent="0.3">
      <c r="A168" s="31" t="s">
        <v>410</v>
      </c>
      <c r="B168" s="16" t="s">
        <v>380</v>
      </c>
      <c r="C168" s="40">
        <v>862600635</v>
      </c>
      <c r="D168" s="31">
        <v>462600223</v>
      </c>
      <c r="E168" s="4">
        <v>25403000422</v>
      </c>
      <c r="F168" s="64" t="s">
        <v>84</v>
      </c>
      <c r="G168" s="44" t="s">
        <v>85</v>
      </c>
      <c r="H168" s="71">
        <v>1</v>
      </c>
      <c r="I168" s="7" t="s">
        <v>64</v>
      </c>
      <c r="J168" s="32">
        <v>33</v>
      </c>
      <c r="K168" s="32">
        <v>35</v>
      </c>
      <c r="L168" s="31" t="s">
        <v>394</v>
      </c>
      <c r="M168" s="31">
        <v>2606020</v>
      </c>
      <c r="O168" s="4" t="s">
        <v>417</v>
      </c>
      <c r="P168" s="4" t="s">
        <v>65</v>
      </c>
      <c r="Q168" s="31" t="s">
        <v>124</v>
      </c>
      <c r="R168" s="44" t="s">
        <v>390</v>
      </c>
      <c r="T168" s="4" t="s">
        <v>163</v>
      </c>
      <c r="U168" s="9" t="s">
        <v>427</v>
      </c>
      <c r="V168" s="31" t="s">
        <v>67</v>
      </c>
      <c r="W168" s="4">
        <f t="shared" si="21"/>
        <v>52</v>
      </c>
      <c r="X168" s="10">
        <v>46242</v>
      </c>
      <c r="Y168" s="10">
        <v>46294</v>
      </c>
      <c r="Z168" s="8">
        <v>46294</v>
      </c>
      <c r="AC168" s="31" t="s">
        <v>330</v>
      </c>
    </row>
    <row r="169" spans="1:29" ht="14.25" customHeight="1" x14ac:dyDescent="0.3">
      <c r="A169" s="31" t="s">
        <v>410</v>
      </c>
      <c r="B169" s="16" t="s">
        <v>380</v>
      </c>
      <c r="C169" s="40">
        <v>862600635</v>
      </c>
      <c r="D169" s="31">
        <v>462600223</v>
      </c>
      <c r="E169" s="4">
        <v>25403000422</v>
      </c>
      <c r="F169" s="64" t="s">
        <v>84</v>
      </c>
      <c r="G169" s="44" t="s">
        <v>85</v>
      </c>
      <c r="H169" s="71">
        <v>1</v>
      </c>
      <c r="I169" s="7" t="s">
        <v>64</v>
      </c>
      <c r="J169" s="32">
        <v>33</v>
      </c>
      <c r="K169" s="32">
        <v>35</v>
      </c>
      <c r="L169" s="31" t="s">
        <v>395</v>
      </c>
      <c r="M169" s="31">
        <v>2606025</v>
      </c>
      <c r="O169" s="4" t="s">
        <v>417</v>
      </c>
      <c r="P169" s="4" t="s">
        <v>65</v>
      </c>
      <c r="Q169" s="31" t="s">
        <v>124</v>
      </c>
      <c r="R169" s="44" t="s">
        <v>390</v>
      </c>
      <c r="T169" s="4" t="s">
        <v>163</v>
      </c>
      <c r="U169" s="9" t="s">
        <v>427</v>
      </c>
      <c r="V169" s="31" t="s">
        <v>67</v>
      </c>
      <c r="W169" s="4">
        <f t="shared" si="21"/>
        <v>52</v>
      </c>
      <c r="X169" s="10">
        <v>46242</v>
      </c>
      <c r="Y169" s="10">
        <v>46294</v>
      </c>
      <c r="Z169" s="8">
        <v>46294</v>
      </c>
      <c r="AC169" s="31" t="s">
        <v>330</v>
      </c>
    </row>
    <row r="170" spans="1:29" ht="14.25" customHeight="1" x14ac:dyDescent="0.3">
      <c r="A170" s="31" t="s">
        <v>410</v>
      </c>
      <c r="B170" s="16" t="s">
        <v>380</v>
      </c>
      <c r="C170" s="40">
        <v>862600645</v>
      </c>
      <c r="D170" s="31">
        <v>462600223</v>
      </c>
      <c r="E170" s="4">
        <v>25403000654</v>
      </c>
      <c r="F170" s="64" t="s">
        <v>79</v>
      </c>
      <c r="G170" s="44" t="s">
        <v>381</v>
      </c>
      <c r="H170" s="71">
        <v>1</v>
      </c>
      <c r="I170" s="7" t="s">
        <v>64</v>
      </c>
      <c r="J170" s="32">
        <v>3080</v>
      </c>
      <c r="K170" s="32">
        <v>3180</v>
      </c>
      <c r="L170" s="31" t="s">
        <v>396</v>
      </c>
      <c r="M170" s="31">
        <v>2606026</v>
      </c>
      <c r="O170" s="4" t="s">
        <v>417</v>
      </c>
      <c r="P170" s="4" t="s">
        <v>65</v>
      </c>
      <c r="Q170" s="31" t="s">
        <v>124</v>
      </c>
      <c r="R170" s="44" t="s">
        <v>397</v>
      </c>
      <c r="S170" s="4">
        <v>1</v>
      </c>
      <c r="T170" s="4" t="s">
        <v>163</v>
      </c>
      <c r="U170" s="9" t="s">
        <v>427</v>
      </c>
      <c r="V170" s="31" t="s">
        <v>67</v>
      </c>
      <c r="W170" s="4">
        <f t="shared" si="21"/>
        <v>52</v>
      </c>
      <c r="X170" s="10">
        <v>46242</v>
      </c>
      <c r="Y170" s="10">
        <v>46294</v>
      </c>
      <c r="Z170" s="8">
        <v>46294</v>
      </c>
      <c r="AC170" s="31" t="s">
        <v>330</v>
      </c>
    </row>
    <row r="171" spans="1:29" ht="14.25" customHeight="1" x14ac:dyDescent="0.3">
      <c r="A171" s="31" t="s">
        <v>410</v>
      </c>
      <c r="B171" s="16" t="s">
        <v>380</v>
      </c>
      <c r="C171" s="40">
        <v>862600645</v>
      </c>
      <c r="D171" s="31">
        <v>462600223</v>
      </c>
      <c r="E171" s="4">
        <v>25403000654</v>
      </c>
      <c r="F171" s="64" t="s">
        <v>79</v>
      </c>
      <c r="G171" s="44" t="s">
        <v>381</v>
      </c>
      <c r="H171" s="71">
        <v>1</v>
      </c>
      <c r="I171" s="7" t="s">
        <v>64</v>
      </c>
      <c r="J171" s="32">
        <v>3080</v>
      </c>
      <c r="K171" s="32">
        <v>3180</v>
      </c>
      <c r="L171" s="31" t="s">
        <v>398</v>
      </c>
      <c r="M171" s="31">
        <v>2606027</v>
      </c>
      <c r="O171" s="4" t="s">
        <v>417</v>
      </c>
      <c r="P171" s="4" t="s">
        <v>65</v>
      </c>
      <c r="Q171" s="31" t="s">
        <v>124</v>
      </c>
      <c r="R171" s="44" t="s">
        <v>397</v>
      </c>
      <c r="T171" s="4" t="s">
        <v>163</v>
      </c>
      <c r="U171" s="9" t="s">
        <v>427</v>
      </c>
      <c r="V171" s="31" t="s">
        <v>67</v>
      </c>
      <c r="W171" s="4">
        <f t="shared" si="21"/>
        <v>52</v>
      </c>
      <c r="X171" s="10">
        <v>46242</v>
      </c>
      <c r="Y171" s="10">
        <v>46294</v>
      </c>
      <c r="Z171" s="8">
        <v>46294</v>
      </c>
      <c r="AC171" s="31" t="s">
        <v>330</v>
      </c>
    </row>
    <row r="172" spans="1:29" ht="14.25" customHeight="1" x14ac:dyDescent="0.3">
      <c r="A172" s="31" t="s">
        <v>410</v>
      </c>
      <c r="B172" s="16" t="s">
        <v>380</v>
      </c>
      <c r="C172" s="40">
        <v>862600645</v>
      </c>
      <c r="D172" s="31">
        <v>462600223</v>
      </c>
      <c r="E172" s="4">
        <v>25403000654</v>
      </c>
      <c r="F172" s="64" t="s">
        <v>79</v>
      </c>
      <c r="G172" s="44" t="s">
        <v>381</v>
      </c>
      <c r="H172" s="71">
        <v>1</v>
      </c>
      <c r="I172" s="7" t="s">
        <v>64</v>
      </c>
      <c r="J172" s="32">
        <v>3080</v>
      </c>
      <c r="K172" s="32">
        <v>3180</v>
      </c>
      <c r="L172" s="31" t="s">
        <v>399</v>
      </c>
      <c r="M172" s="31">
        <v>2606028</v>
      </c>
      <c r="O172" s="4" t="s">
        <v>417</v>
      </c>
      <c r="P172" s="4" t="s">
        <v>65</v>
      </c>
      <c r="Q172" s="31" t="s">
        <v>124</v>
      </c>
      <c r="R172" s="44" t="s">
        <v>397</v>
      </c>
      <c r="T172" s="4" t="s">
        <v>163</v>
      </c>
      <c r="U172" s="9" t="s">
        <v>427</v>
      </c>
      <c r="V172" s="31" t="s">
        <v>67</v>
      </c>
      <c r="W172" s="4">
        <f t="shared" si="21"/>
        <v>52</v>
      </c>
      <c r="X172" s="10">
        <v>46242</v>
      </c>
      <c r="Y172" s="10">
        <v>46294</v>
      </c>
      <c r="Z172" s="8">
        <v>46294</v>
      </c>
      <c r="AC172" s="31" t="s">
        <v>330</v>
      </c>
    </row>
    <row r="173" spans="1:29" ht="14.25" customHeight="1" x14ac:dyDescent="0.3">
      <c r="A173" s="31" t="s">
        <v>410</v>
      </c>
      <c r="B173" s="16" t="s">
        <v>380</v>
      </c>
      <c r="C173" s="40">
        <v>862600645</v>
      </c>
      <c r="D173" s="31">
        <v>462600223</v>
      </c>
      <c r="E173" s="4">
        <v>25403000422</v>
      </c>
      <c r="F173" s="64" t="s">
        <v>84</v>
      </c>
      <c r="G173" s="44" t="s">
        <v>85</v>
      </c>
      <c r="H173" s="71">
        <v>1</v>
      </c>
      <c r="I173" s="7" t="s">
        <v>64</v>
      </c>
      <c r="J173" s="32">
        <v>33</v>
      </c>
      <c r="K173" s="32">
        <v>35</v>
      </c>
      <c r="L173" s="31" t="s">
        <v>400</v>
      </c>
      <c r="M173" s="31">
        <v>2606026</v>
      </c>
      <c r="O173" s="4" t="s">
        <v>417</v>
      </c>
      <c r="P173" s="4" t="s">
        <v>65</v>
      </c>
      <c r="Q173" s="31" t="s">
        <v>124</v>
      </c>
      <c r="R173" s="44" t="s">
        <v>397</v>
      </c>
      <c r="T173" s="4" t="s">
        <v>163</v>
      </c>
      <c r="U173" s="9" t="s">
        <v>427</v>
      </c>
      <c r="V173" s="31" t="s">
        <v>67</v>
      </c>
      <c r="W173" s="4">
        <f t="shared" si="21"/>
        <v>52</v>
      </c>
      <c r="X173" s="10">
        <v>46242</v>
      </c>
      <c r="Y173" s="10">
        <v>46294</v>
      </c>
      <c r="Z173" s="8">
        <v>46294</v>
      </c>
      <c r="AC173" s="31" t="s">
        <v>330</v>
      </c>
    </row>
    <row r="174" spans="1:29" ht="14.25" customHeight="1" x14ac:dyDescent="0.3">
      <c r="A174" s="31" t="s">
        <v>410</v>
      </c>
      <c r="B174" s="16" t="s">
        <v>380</v>
      </c>
      <c r="C174" s="40">
        <v>862600645</v>
      </c>
      <c r="D174" s="31">
        <v>462600223</v>
      </c>
      <c r="E174" s="4">
        <v>25403000422</v>
      </c>
      <c r="F174" s="64" t="s">
        <v>84</v>
      </c>
      <c r="G174" s="44" t="s">
        <v>85</v>
      </c>
      <c r="H174" s="71">
        <v>1</v>
      </c>
      <c r="I174" s="7" t="s">
        <v>64</v>
      </c>
      <c r="J174" s="32">
        <v>33</v>
      </c>
      <c r="K174" s="32">
        <v>35</v>
      </c>
      <c r="L174" s="31" t="s">
        <v>401</v>
      </c>
      <c r="M174" s="31">
        <v>2606027</v>
      </c>
      <c r="O174" s="4" t="s">
        <v>417</v>
      </c>
      <c r="P174" s="4" t="s">
        <v>65</v>
      </c>
      <c r="Q174" s="31" t="s">
        <v>124</v>
      </c>
      <c r="R174" s="44" t="s">
        <v>397</v>
      </c>
      <c r="T174" s="4" t="s">
        <v>163</v>
      </c>
      <c r="U174" s="9" t="s">
        <v>427</v>
      </c>
      <c r="V174" s="31" t="s">
        <v>67</v>
      </c>
      <c r="W174" s="4">
        <f t="shared" si="21"/>
        <v>52</v>
      </c>
      <c r="X174" s="10">
        <v>46242</v>
      </c>
      <c r="Y174" s="10">
        <v>46294</v>
      </c>
      <c r="Z174" s="8">
        <v>46294</v>
      </c>
      <c r="AC174" s="31" t="s">
        <v>330</v>
      </c>
    </row>
    <row r="175" spans="1:29" ht="14.25" customHeight="1" x14ac:dyDescent="0.3">
      <c r="A175" s="31" t="s">
        <v>410</v>
      </c>
      <c r="B175" s="16" t="s">
        <v>380</v>
      </c>
      <c r="C175" s="40">
        <v>862600645</v>
      </c>
      <c r="D175" s="31">
        <v>462600223</v>
      </c>
      <c r="E175" s="4">
        <v>25403000422</v>
      </c>
      <c r="F175" s="64" t="s">
        <v>84</v>
      </c>
      <c r="G175" s="44" t="s">
        <v>85</v>
      </c>
      <c r="H175" s="71">
        <v>1</v>
      </c>
      <c r="I175" s="7" t="s">
        <v>64</v>
      </c>
      <c r="J175" s="32">
        <v>33</v>
      </c>
      <c r="K175" s="32">
        <v>35</v>
      </c>
      <c r="L175" s="31" t="s">
        <v>402</v>
      </c>
      <c r="M175" s="31">
        <v>2606028</v>
      </c>
      <c r="O175" s="4" t="s">
        <v>417</v>
      </c>
      <c r="P175" s="4" t="s">
        <v>65</v>
      </c>
      <c r="Q175" s="31" t="s">
        <v>124</v>
      </c>
      <c r="R175" s="44" t="s">
        <v>397</v>
      </c>
      <c r="T175" s="4" t="s">
        <v>163</v>
      </c>
      <c r="U175" s="9" t="s">
        <v>427</v>
      </c>
      <c r="V175" s="31" t="s">
        <v>67</v>
      </c>
      <c r="W175" s="4">
        <f t="shared" si="21"/>
        <v>52</v>
      </c>
      <c r="X175" s="10">
        <v>46242</v>
      </c>
      <c r="Y175" s="10">
        <v>46294</v>
      </c>
      <c r="Z175" s="8">
        <v>46294</v>
      </c>
      <c r="AC175" s="31" t="s">
        <v>330</v>
      </c>
    </row>
    <row r="176" spans="1:29" ht="14.25" customHeight="1" x14ac:dyDescent="0.3">
      <c r="A176" s="31" t="s">
        <v>410</v>
      </c>
      <c r="B176" s="16" t="s">
        <v>380</v>
      </c>
      <c r="C176" s="40">
        <v>862600652</v>
      </c>
      <c r="D176" s="31">
        <v>462600223</v>
      </c>
      <c r="E176" s="4">
        <v>25403000422</v>
      </c>
      <c r="F176" s="64" t="s">
        <v>84</v>
      </c>
      <c r="G176" s="44" t="s">
        <v>85</v>
      </c>
      <c r="H176" s="71">
        <v>1</v>
      </c>
      <c r="I176" s="7" t="s">
        <v>64</v>
      </c>
      <c r="J176" s="32">
        <v>33</v>
      </c>
      <c r="K176" s="32">
        <v>35</v>
      </c>
      <c r="L176" s="31" t="s">
        <v>403</v>
      </c>
      <c r="M176" s="31">
        <v>2606023</v>
      </c>
      <c r="O176" s="4" t="s">
        <v>417</v>
      </c>
      <c r="P176" s="4" t="s">
        <v>65</v>
      </c>
      <c r="Q176" s="31" t="s">
        <v>124</v>
      </c>
      <c r="R176" s="44" t="s">
        <v>404</v>
      </c>
      <c r="S176" s="4">
        <v>1</v>
      </c>
      <c r="T176" s="4" t="s">
        <v>163</v>
      </c>
      <c r="U176" s="9" t="s">
        <v>427</v>
      </c>
      <c r="V176" s="31" t="s">
        <v>67</v>
      </c>
      <c r="W176" s="4">
        <f t="shared" si="21"/>
        <v>52</v>
      </c>
      <c r="X176" s="10">
        <v>46242</v>
      </c>
      <c r="Y176" s="10">
        <v>46294</v>
      </c>
      <c r="Z176" s="8">
        <v>46294</v>
      </c>
      <c r="AC176" s="31" t="s">
        <v>330</v>
      </c>
    </row>
    <row r="177" spans="1:43" ht="14.25" customHeight="1" x14ac:dyDescent="0.3">
      <c r="A177" s="31" t="s">
        <v>410</v>
      </c>
      <c r="B177" s="16" t="s">
        <v>380</v>
      </c>
      <c r="C177" s="40">
        <v>862600652</v>
      </c>
      <c r="D177" s="31">
        <v>462600223</v>
      </c>
      <c r="E177" s="4">
        <v>25403000422</v>
      </c>
      <c r="F177" s="64" t="s">
        <v>84</v>
      </c>
      <c r="G177" s="44" t="s">
        <v>85</v>
      </c>
      <c r="H177" s="71">
        <v>1</v>
      </c>
      <c r="I177" s="7" t="s">
        <v>64</v>
      </c>
      <c r="J177" s="32">
        <v>33</v>
      </c>
      <c r="K177" s="32">
        <v>35</v>
      </c>
      <c r="L177" s="31" t="s">
        <v>405</v>
      </c>
      <c r="M177" s="31">
        <v>2606024</v>
      </c>
      <c r="O177" s="4" t="s">
        <v>417</v>
      </c>
      <c r="P177" s="4" t="s">
        <v>65</v>
      </c>
      <c r="Q177" s="31" t="s">
        <v>124</v>
      </c>
      <c r="R177" s="44" t="s">
        <v>404</v>
      </c>
      <c r="T177" s="4" t="s">
        <v>163</v>
      </c>
      <c r="U177" s="9" t="s">
        <v>427</v>
      </c>
      <c r="V177" s="31" t="s">
        <v>67</v>
      </c>
      <c r="W177" s="4">
        <f t="shared" si="21"/>
        <v>52</v>
      </c>
      <c r="X177" s="10">
        <v>46242</v>
      </c>
      <c r="Y177" s="10">
        <v>46294</v>
      </c>
      <c r="Z177" s="8">
        <v>46294</v>
      </c>
      <c r="AC177" s="31" t="s">
        <v>330</v>
      </c>
    </row>
    <row r="178" spans="1:43" ht="14.25" customHeight="1" x14ac:dyDescent="0.3">
      <c r="A178" s="31" t="s">
        <v>410</v>
      </c>
      <c r="B178" s="16" t="s">
        <v>380</v>
      </c>
      <c r="C178" s="40">
        <v>862600652</v>
      </c>
      <c r="D178" s="31">
        <v>462600223</v>
      </c>
      <c r="E178" s="4">
        <v>25403000654</v>
      </c>
      <c r="F178" s="64" t="s">
        <v>79</v>
      </c>
      <c r="G178" s="44" t="s">
        <v>381</v>
      </c>
      <c r="H178" s="71">
        <v>1</v>
      </c>
      <c r="I178" s="7" t="s">
        <v>64</v>
      </c>
      <c r="J178" s="32">
        <v>3080</v>
      </c>
      <c r="K178" s="32">
        <v>3180</v>
      </c>
      <c r="L178" s="31" t="s">
        <v>406</v>
      </c>
      <c r="M178" s="31">
        <v>2606023</v>
      </c>
      <c r="O178" s="4" t="s">
        <v>417</v>
      </c>
      <c r="P178" s="4" t="s">
        <v>65</v>
      </c>
      <c r="Q178" s="31" t="s">
        <v>124</v>
      </c>
      <c r="R178" s="44" t="s">
        <v>404</v>
      </c>
      <c r="T178" s="4" t="s">
        <v>163</v>
      </c>
      <c r="U178" s="9" t="s">
        <v>427</v>
      </c>
      <c r="V178" s="31" t="s">
        <v>67</v>
      </c>
      <c r="W178" s="4">
        <f t="shared" si="21"/>
        <v>52</v>
      </c>
      <c r="X178" s="10">
        <v>46242</v>
      </c>
      <c r="Y178" s="10">
        <v>46294</v>
      </c>
      <c r="Z178" s="8">
        <v>46294</v>
      </c>
      <c r="AC178" s="31" t="s">
        <v>330</v>
      </c>
    </row>
    <row r="179" spans="1:43" ht="14.25" customHeight="1" x14ac:dyDescent="0.3">
      <c r="A179" s="31" t="s">
        <v>410</v>
      </c>
      <c r="B179" s="16" t="s">
        <v>380</v>
      </c>
      <c r="C179" s="40">
        <v>862600652</v>
      </c>
      <c r="D179" s="31">
        <v>462600223</v>
      </c>
      <c r="E179" s="4">
        <v>25403000654</v>
      </c>
      <c r="F179" s="64" t="s">
        <v>79</v>
      </c>
      <c r="G179" s="44" t="s">
        <v>381</v>
      </c>
      <c r="H179" s="71">
        <v>1</v>
      </c>
      <c r="I179" s="7" t="s">
        <v>64</v>
      </c>
      <c r="J179" s="32">
        <v>3080</v>
      </c>
      <c r="K179" s="32">
        <v>3180</v>
      </c>
      <c r="L179" s="31" t="s">
        <v>407</v>
      </c>
      <c r="M179" s="31">
        <v>2606024</v>
      </c>
      <c r="O179" s="4" t="s">
        <v>417</v>
      </c>
      <c r="P179" s="4" t="s">
        <v>65</v>
      </c>
      <c r="Q179" s="31" t="s">
        <v>124</v>
      </c>
      <c r="R179" s="44" t="s">
        <v>404</v>
      </c>
      <c r="T179" s="4" t="s">
        <v>163</v>
      </c>
      <c r="U179" s="9" t="s">
        <v>427</v>
      </c>
      <c r="V179" s="31" t="s">
        <v>67</v>
      </c>
      <c r="W179" s="4">
        <f t="shared" si="21"/>
        <v>52</v>
      </c>
      <c r="X179" s="10">
        <v>46242</v>
      </c>
      <c r="Y179" s="10">
        <v>46294</v>
      </c>
      <c r="Z179" s="8">
        <v>46294</v>
      </c>
      <c r="AC179" s="31" t="s">
        <v>330</v>
      </c>
    </row>
    <row r="180" spans="1:43" ht="14.25" customHeight="1" x14ac:dyDescent="0.3">
      <c r="A180" s="31" t="s">
        <v>410</v>
      </c>
      <c r="B180" s="16" t="s">
        <v>380</v>
      </c>
      <c r="C180" s="40">
        <v>862600652</v>
      </c>
      <c r="D180" s="31">
        <v>462600223</v>
      </c>
      <c r="E180" s="4">
        <v>25403000605</v>
      </c>
      <c r="F180" s="64" t="s">
        <v>116</v>
      </c>
      <c r="G180" s="44" t="s">
        <v>408</v>
      </c>
      <c r="H180" s="71">
        <v>11</v>
      </c>
      <c r="I180" s="7" t="s">
        <v>64</v>
      </c>
      <c r="J180" s="32">
        <v>66</v>
      </c>
      <c r="K180" s="32">
        <v>70</v>
      </c>
      <c r="L180" s="31" t="s">
        <v>409</v>
      </c>
      <c r="M180" s="31" t="s">
        <v>83</v>
      </c>
      <c r="O180" s="4" t="s">
        <v>417</v>
      </c>
      <c r="P180" s="4" t="s">
        <v>65</v>
      </c>
      <c r="Q180" s="31" t="s">
        <v>124</v>
      </c>
      <c r="R180" s="44" t="s">
        <v>404</v>
      </c>
      <c r="T180" s="4" t="s">
        <v>163</v>
      </c>
      <c r="U180" s="9" t="s">
        <v>427</v>
      </c>
      <c r="V180" s="31" t="s">
        <v>67</v>
      </c>
      <c r="W180" s="4">
        <f t="shared" si="21"/>
        <v>52</v>
      </c>
      <c r="X180" s="10">
        <v>46242</v>
      </c>
      <c r="Y180" s="10">
        <v>46294</v>
      </c>
      <c r="Z180" s="8">
        <v>46294</v>
      </c>
      <c r="AC180" s="31" t="s">
        <v>330</v>
      </c>
    </row>
    <row r="181" spans="1:43" ht="14.25" customHeight="1" x14ac:dyDescent="0.3">
      <c r="AO181" s="64"/>
      <c r="AQ181" s="71"/>
    </row>
    <row r="182" spans="1:43" ht="14.25" customHeight="1" x14ac:dyDescent="0.3">
      <c r="AP182" s="84"/>
    </row>
  </sheetData>
  <autoFilter ref="A2:BI180" xr:uid="{A2C4300D-9A59-4B25-8784-2C53E0A2DA64}"/>
  <mergeCells count="5">
    <mergeCell ref="P1:AC1"/>
    <mergeCell ref="A1:M1"/>
    <mergeCell ref="BG1:BH1"/>
    <mergeCell ref="AE1:AS1"/>
    <mergeCell ref="AV1:BF1"/>
  </mergeCells>
  <phoneticPr fontId="14" type="noConversion"/>
  <conditionalFormatting sqref="A22">
    <cfRule type="expression" dxfId="53" priority="11">
      <formula>$AC22="Delivered"</formula>
    </cfRule>
  </conditionalFormatting>
  <conditionalFormatting sqref="A32:A33 A38 A91">
    <cfRule type="expression" dxfId="52" priority="13">
      <formula>$AC32="Delivered"</formula>
    </cfRule>
  </conditionalFormatting>
  <conditionalFormatting sqref="A14:M17 A22 A53:A69 A101:A103 A105 A107:A108 A113 A118 A121:A138 A148:A155">
    <cfRule type="expression" dxfId="51" priority="12">
      <formula>$AC14="Delivered"</formula>
    </cfRule>
  </conditionalFormatting>
  <conditionalFormatting sqref="A3:V3 X3:AL4 AN3:AS4 W3:W29 Y3:Y180 A4:M9 O4:V22 N4:N120 X8:AS9 AM10:AS10 B10:M12 A10:A13 X10:AL13 B13:L13 AM13:AS13 X14:AS16 A14:M17 AL15:AL21 B18:M22 X18:AS22 A23:L24 Z23:AK24 X23:Y29 AM23:AS29 M23:M30 V23:V34 U23:U77 Z25:Z34 A25:B38 W30:AK30 AM30:AO31 AQ30:AS31 AA31:AK31 W31:Y34 D31:M38 AA32:AS34 V35:W36 AQ36:AS36 X36:Y44 AA37:AS38 V37:V44 W37:W75 P38:T44 O38:O57 G39:G43 B39:B44 D39:F44 H39:M44 A39:A52 AQ42:AS44 AP43:AP44 P45:P180 B46:B52 P47:T57 D47:M74 X47:X74 V47:V75 AA51:AB86 AC53:AK63 A53:B180 O58:T58 P59:T74 O59:O75 AC64:AC69 AJ64:AK69 AG67:AI69 AD68:AF69 AC70:AK74 C75:M75 AD75:AS77 AC75:AC86 O76:X109 D76:M120 AD78:AK81 AM78:AS81 AQ82:AS82 AE82:AK84 AD82:AD86 AM83:AS84 AE85:AS86 V109:V112 O110:U111 W110:X111 O112:X112 O113:T120 U113:X180 D121:T180 AA138:AS147 AA156:AS180">
    <cfRule type="expression" dxfId="50" priority="427">
      <formula>$AC3="Delivered"</formula>
    </cfRule>
  </conditionalFormatting>
  <conditionalFormatting sqref="B19">
    <cfRule type="expression" dxfId="49" priority="1289">
      <formula>$AC19="Delivered"</formula>
    </cfRule>
  </conditionalFormatting>
  <conditionalFormatting sqref="B45 D45:K45 P45:Q46 T45:T46 V45:V46 X45:Y46 AA45:AB46 AK45:AK46 Y50 AA50:AB50 AK50:AK51 Y53:Y54 Y58 Y60:Y62 Y65:Y67 Y70:Y73 X75 Y75:Y76 Y82:Y83 Y85 Y88:Y89 Y92 V110">
    <cfRule type="expression" dxfId="48" priority="791">
      <formula>$AC46="Delivered"</formula>
    </cfRule>
  </conditionalFormatting>
  <conditionalFormatting sqref="B3:V3 U113:U180">
    <cfRule type="expression" dxfId="47" priority="588">
      <formula>$AC3="Delivered"</formula>
    </cfRule>
  </conditionalFormatting>
  <conditionalFormatting sqref="C25:C74 C76:C180">
    <cfRule type="expression" dxfId="46" priority="1032">
      <formula>$AA25="Delivered"</formula>
    </cfRule>
    <cfRule type="expression" dxfId="45" priority="1031">
      <formula>$AA25="Delivered"</formula>
    </cfRule>
  </conditionalFormatting>
  <conditionalFormatting sqref="D19:E19">
    <cfRule type="expression" dxfId="44" priority="1287">
      <formula>$AC19="Delivered"</formula>
    </cfRule>
  </conditionalFormatting>
  <conditionalFormatting sqref="D46:E46">
    <cfRule type="expression" dxfId="43" priority="786">
      <formula>$AC46="Delivered"</formula>
    </cfRule>
  </conditionalFormatting>
  <conditionalFormatting sqref="F46">
    <cfRule type="expression" dxfId="42" priority="792">
      <formula>$AC47="Delivered"</formula>
    </cfRule>
  </conditionalFormatting>
  <conditionalFormatting sqref="H46:K46">
    <cfRule type="expression" dxfId="41" priority="793">
      <formula>$AC47="Delivered"</formula>
    </cfRule>
  </conditionalFormatting>
  <conditionalFormatting sqref="L45:M46 S45:S46 G46 AD64:AI64 AF65:AI66 AD65:AE67 AF67 Q75:T75 AM82:AO82 AA130:AO137 AQ130:AS137 AA148:AO155 AQ148:AS155 A181:AS406">
    <cfRule type="expression" dxfId="40" priority="884">
      <formula>$AC45="Delivered"</formula>
    </cfRule>
  </conditionalFormatting>
  <conditionalFormatting sqref="M34">
    <cfRule type="expression" dxfId="39" priority="68">
      <formula>$AC34="Delivered"</formula>
    </cfRule>
  </conditionalFormatting>
  <conditionalFormatting sqref="N4:N120">
    <cfRule type="expression" dxfId="38" priority="2">
      <formula>$AC4="Delivered"</formula>
    </cfRule>
  </conditionalFormatting>
  <conditionalFormatting sqref="O4 O4:V17">
    <cfRule type="expression" dxfId="37" priority="9">
      <formula>$AC4="Delivered"</formula>
    </cfRule>
  </conditionalFormatting>
  <conditionalFormatting sqref="O18:O180">
    <cfRule type="expression" dxfId="36" priority="8">
      <formula>$AC18="Delivered"</formula>
    </cfRule>
  </conditionalFormatting>
  <conditionalFormatting sqref="O23:T37 D25:L30">
    <cfRule type="expression" dxfId="35" priority="46">
      <formula>$AC23="Delivered"</formula>
    </cfRule>
  </conditionalFormatting>
  <conditionalFormatting sqref="Q23:Q30">
    <cfRule type="expression" dxfId="34" priority="47">
      <formula>$AC23="Delivered"</formula>
    </cfRule>
  </conditionalFormatting>
  <conditionalFormatting sqref="R45">
    <cfRule type="expression" dxfId="33" priority="469">
      <formula>$AC45="Delivered"</formula>
    </cfRule>
  </conditionalFormatting>
  <conditionalFormatting sqref="R46">
    <cfRule type="expression" dxfId="32" priority="797">
      <formula>#REF!="Delivered"</formula>
    </cfRule>
  </conditionalFormatting>
  <conditionalFormatting sqref="U4:U108">
    <cfRule type="expression" dxfId="31" priority="1">
      <formula>$AC4="Delivered"</formula>
    </cfRule>
  </conditionalFormatting>
  <conditionalFormatting sqref="U32:U34 W32:W50 U76:U112">
    <cfRule type="expression" dxfId="30" priority="1190">
      <formula>$AA32="Delivered"</formula>
    </cfRule>
  </conditionalFormatting>
  <conditionalFormatting sqref="W5:AS7 AL23:AL31 AL35:AL36 AL78:AL84 AA87:AS129">
    <cfRule type="expression" dxfId="29" priority="7">
      <formula>$AC5="Delivered"</formula>
    </cfRule>
  </conditionalFormatting>
  <conditionalFormatting sqref="X35:AK35 AM35:AS35 AA36:AK36 AM36:AO36">
    <cfRule type="expression" dxfId="28" priority="847">
      <formula>$AC35="Delivered"</formula>
    </cfRule>
  </conditionalFormatting>
  <conditionalFormatting sqref="X17:AL17">
    <cfRule type="expression" dxfId="27" priority="49">
      <formula>$AC17="Delivered"</formula>
    </cfRule>
  </conditionalFormatting>
  <conditionalFormatting sqref="Y47:Y49 AA47:AB49 AK47:AK49 AK52 Y59 Y68:Y69 Y74 Y77 Y84 Y86:Y87 Y90:Y91">
    <cfRule type="expression" dxfId="26" priority="1578">
      <formula>#REF!="Delivered"</formula>
    </cfRule>
  </conditionalFormatting>
  <conditionalFormatting sqref="Y55:Y57">
    <cfRule type="expression" dxfId="25" priority="1487">
      <formula>#REF!="Delivered"</formula>
    </cfRule>
  </conditionalFormatting>
  <conditionalFormatting sqref="Y63:Y64">
    <cfRule type="expression" dxfId="24" priority="1538">
      <formula>#REF!="Delivered"</formula>
    </cfRule>
  </conditionalFormatting>
  <conditionalFormatting sqref="Y19:AE19">
    <cfRule type="expression" dxfId="23" priority="1290">
      <formula>$AC19="Delivered"</formula>
    </cfRule>
  </conditionalFormatting>
  <conditionalFormatting sqref="Z37:Z68 Z91:Z95">
    <cfRule type="expression" dxfId="22" priority="319">
      <formula>$AC37="Delivered"</formula>
    </cfRule>
    <cfRule type="expression" dxfId="21" priority="318">
      <formula>$AC37="Delivered"</formula>
    </cfRule>
  </conditionalFormatting>
  <conditionalFormatting sqref="Z69:Z71 Z75:Z77 Z87:Z90 Z96:Z180">
    <cfRule type="expression" dxfId="20" priority="1511">
      <formula>#REF!="Delivered"</formula>
    </cfRule>
    <cfRule type="expression" dxfId="19" priority="1512">
      <formula>#REF!="Delivered"</formula>
    </cfRule>
  </conditionalFormatting>
  <conditionalFormatting sqref="Z82:Z84">
    <cfRule type="expression" dxfId="18" priority="527">
      <formula>#REF!="Delivered"</formula>
    </cfRule>
    <cfRule type="expression" dxfId="17" priority="528">
      <formula>#REF!="Delivered"</formula>
    </cfRule>
  </conditionalFormatting>
  <conditionalFormatting sqref="AA25:AJ29">
    <cfRule type="expression" dxfId="16" priority="149">
      <formula>$AC25="Delivered"</formula>
    </cfRule>
  </conditionalFormatting>
  <conditionalFormatting sqref="AA39:AK44">
    <cfRule type="expression" dxfId="15" priority="137">
      <formula>$AC39="Delivered"</formula>
    </cfRule>
  </conditionalFormatting>
  <conditionalFormatting sqref="AC45:AJ52">
    <cfRule type="expression" dxfId="14" priority="221">
      <formula>$AC45="Delivered"</formula>
    </cfRule>
  </conditionalFormatting>
  <conditionalFormatting sqref="AJ19">
    <cfRule type="expression" dxfId="13" priority="1285">
      <formula>$AC19="Delivered"</formula>
    </cfRule>
  </conditionalFormatting>
  <conditionalFormatting sqref="AL23:AL120">
    <cfRule type="expression" dxfId="12" priority="4">
      <formula>$AC23="Delivered"</formula>
    </cfRule>
  </conditionalFormatting>
  <conditionalFormatting sqref="AL39:AL74">
    <cfRule type="expression" dxfId="11" priority="3">
      <formula>$AC39="Delivered"</formula>
    </cfRule>
  </conditionalFormatting>
  <conditionalFormatting sqref="AM5:AO6 AQ5:AS6 AO11:AS11 AM11:AN12 AO12 AQ12:AS12">
    <cfRule type="expression" dxfId="10" priority="1479">
      <formula>$AC5="Delivered"</formula>
    </cfRule>
  </conditionalFormatting>
  <conditionalFormatting sqref="AM39:AO39 AQ39:AS40 AO40 AM40:AN44 AO41:AS41 AO42:AO44">
    <cfRule type="expression" dxfId="9" priority="1308">
      <formula>$AC39="Delivered"</formula>
    </cfRule>
  </conditionalFormatting>
  <conditionalFormatting sqref="AM45:AS74">
    <cfRule type="expression" dxfId="8" priority="226">
      <formula>$AC45="Delivered"</formula>
    </cfRule>
  </conditionalFormatting>
  <conditionalFormatting sqref="AN18">
    <cfRule type="expression" dxfId="7" priority="120">
      <formula>$AC18="Delivered"</formula>
    </cfRule>
  </conditionalFormatting>
  <conditionalFormatting sqref="AN22">
    <cfRule type="expression" dxfId="6" priority="55">
      <formula>$AC22="Delivered"</formula>
    </cfRule>
  </conditionalFormatting>
  <conditionalFormatting sqref="AN3:AS4 X3:AL7 W3:W31 Y3:Y180 A4 C4:M4 A5:M9 AM5:AM12 AM7:AS7 X8:AS9 AM10:AS10 B10:M12 X10:AL17 B13:L13 AM13:AS16 F13:G19 J18:K18 P18:P19 Q18:Q21 Y18:Z21 H18:I22 V18:V22 AC18:AC22 AL18:AM22 C18:C24 X18:X24 J20:K22 Z20:Z35 X32:X36 Q34">
    <cfRule type="expression" dxfId="5" priority="1408">
      <formula>$AC3="Delivered"</formula>
    </cfRule>
  </conditionalFormatting>
  <conditionalFormatting sqref="AN17:AS17">
    <cfRule type="expression" dxfId="4" priority="1473">
      <formula>$AC17="Delivered"</formula>
    </cfRule>
    <cfRule type="expression" dxfId="3" priority="53">
      <formula>$AC17="Delivered"</formula>
    </cfRule>
  </conditionalFormatting>
  <conditionalFormatting sqref="AO11:AS11 AM11:AN12 AO12 AQ12:AS12">
    <cfRule type="expression" dxfId="2" priority="1313">
      <formula>$AC11="Delivered"</formula>
    </cfRule>
  </conditionalFormatting>
  <conditionalFormatting sqref="AP18">
    <cfRule type="expression" dxfId="1" priority="118">
      <formula>$AC18="Delivered"</formula>
    </cfRule>
  </conditionalFormatting>
  <conditionalFormatting sqref="AP22">
    <cfRule type="expression" dxfId="0" priority="52">
      <formula>$AC22="Delivered"</formula>
    </cfRule>
  </conditionalFormatting>
  <dataValidations count="13">
    <dataValidation type="list" showInputMessage="1" showErrorMessage="1" sqref="AF30 AE1:AE1048576" xr:uid="{EF1329BB-FCE2-4FB9-BEF1-7DC9E19AB100}">
      <formula1>"AM, AM + CR, OK"</formula1>
    </dataValidation>
    <dataValidation type="list" allowBlank="1" showInputMessage="1" showErrorMessage="1" sqref="Q82:Q83 Q121:Q139 Q119 Q64:Q71 Q85:Q116 Q45:Q62 Q1:Q38 Q148:Q1048576" xr:uid="{31E15A9E-FBE2-4529-9213-5697A36DB041}">
      <formula1>"BERGEN, MÅLØY, ORKANGER, OSLO, SALTEN, TRONDHEIM, TORSHAVN"</formula1>
    </dataValidation>
    <dataValidation type="list" allowBlank="1" showInputMessage="1" showErrorMessage="1" sqref="Q140:Q147 Q39:Q43" xr:uid="{7C116FAE-D103-4172-B3A2-59A217CD21C8}">
      <formula1>"LONDON GATEWAY, BERGEN, MÅLØY, ORKANGER, OSLO, SALTEN, TRONDHEIM, TORSHAVN"</formula1>
    </dataValidation>
    <dataValidation type="list" allowBlank="1" showInputMessage="1" showErrorMessage="1" sqref="Q117:Q118 Q44" xr:uid="{08396452-694E-4C9D-8734-D5A359045C5D}">
      <formula1>"ROTTERDAM,BERGEN, MÅLØY, ORKANGER, OSLO, SALTEN, TRONDHEIM, TORSHAVN"</formula1>
    </dataValidation>
    <dataValidation type="list" showInputMessage="1" showErrorMessage="1" sqref="AA119 AA107:AA110 AC1:AC9 AC19:AC31 AC14:AC17 AC34:AC1048576" xr:uid="{70E250FD-AD9D-488C-999D-FFFA96A2E8C4}">
      <formula1>"Arrived, In Storage, In Stock, In Transit, Delivered, Yet to Sail"</formula1>
    </dataValidation>
    <dataValidation type="list" showInputMessage="1" showErrorMessage="1" sqref="Q63 Q84 Q72:Q76" xr:uid="{02F59D0D-8709-4841-955D-0BA59DB3DADF}">
      <formula1>"ROTTERDAM, BERGEN, MÅLØY, ORKANGER, OSLO, SALTEN, TRONDHEIM, TORSHAVN"</formula1>
    </dataValidation>
    <dataValidation type="list" showInputMessage="1" showErrorMessage="1" sqref="AC18 AC32:AC33 AC10:AC13" xr:uid="{0BF383E7-E689-48EF-B11F-B44DCD81C2BD}">
      <formula1>"Sold, Arrived, In Storage, In Stock, In Transit, Delivered, Yet to Sail"</formula1>
    </dataValidation>
    <dataValidation type="list" allowBlank="1" showInputMessage="1" showErrorMessage="1" sqref="Q77:Q81" xr:uid="{6AE174D1-5AE4-4364-86E6-3BDD83554970}">
      <formula1>"DUBLIN, BERGEN, MÅLØY, ORKANGER, OSLO, SALTEN, TRONDHEIM, TORSHAVN"</formula1>
    </dataValidation>
    <dataValidation type="list" showInputMessage="1" showErrorMessage="1" sqref="F160:F162 F168:F1048576 F94:F124 F1:F92 F126:F156" xr:uid="{0A28AFDD-1188-46F2-8A6B-967A0E417728}">
      <formula1>"Rope, Net Cage, Bird Nets, Lice Shield, Repair Panel, Websling, Shackles, Velcro Straps, Grading Panel$A$1"</formula1>
    </dataValidation>
    <dataValidation type="list" showInputMessage="1" showErrorMessage="1" sqref="F93" xr:uid="{86EB6A0A-6EB8-48DA-9352-F42C4F8319E9}">
      <formula1>"NP Base, Rope, Net Cage, Bird Nets, Lice Shield, Repair Panel, Websling, Shackles, Velcro Straps, Grading Panel$A$1"</formula1>
    </dataValidation>
    <dataValidation type="list" showInputMessage="1" showErrorMessage="1" sqref="F125" xr:uid="{EC44E448-DEBA-4C1B-AC66-96043D8AAF04}">
      <formula1>"Twine, Rope, Net Cage, Bird Nets, Lice Shield, Repair Panel, Websling, Shackles, Velcro Straps, Grading Panel$A$1"</formula1>
    </dataValidation>
    <dataValidation type="list" showInputMessage="1" showErrorMessage="1" sqref="F157:F159 F163:F167" xr:uid="{A65A0304-4755-49E2-9422-C77089C8884D}">
      <formula1>"DFC, Rope, Net Cage, Bird Nets, Lice Shield, Repair Panel, Websling, Shackles, Velcro Straps, Grading Panel$A$1"</formula1>
    </dataValidation>
    <dataValidation type="list" showInputMessage="1" showErrorMessage="1" sqref="AJ1:AJ1048576" xr:uid="{54F59A6D-B316-4368-B271-DEE3D587AA3E}">
      <formula1>"Yes, No"</formula1>
    </dataValidation>
  </dataValidations>
  <printOptions headings="1"/>
  <pageMargins left="0.25" right="0.25" top="0.75" bottom="0.75" header="0.3" footer="0.3"/>
  <pageSetup paperSize="9" fitToWidth="0" orientation="landscape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0E37DC10894B745BDBADD4F90CA02DB" ma:contentTypeVersion="4" ma:contentTypeDescription="Create a new document." ma:contentTypeScope="" ma:versionID="59a65f146d1cb07e56ad161741af4941">
  <xsd:schema xmlns:xsd="http://www.w3.org/2001/XMLSchema" xmlns:xs="http://www.w3.org/2001/XMLSchema" xmlns:p="http://schemas.microsoft.com/office/2006/metadata/properties" xmlns:ns2="f924f9aa-c158-4833-baa2-eaac7cb015ee" targetNamespace="http://schemas.microsoft.com/office/2006/metadata/properties" ma:root="true" ma:fieldsID="5b0dfc86b361c47281af7237ea3da3ea" ns2:_="">
    <xsd:import namespace="f924f9aa-c158-4833-baa2-eaac7cb015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24f9aa-c158-4833-baa2-eaac7cb015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98104DF-57F6-4462-85AE-6F67F89D967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C8ECFF6-9054-46AC-BA72-8FF4F2F2F6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24f9aa-c158-4833-baa2-eaac7cb015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8B7DD30-5B3F-4877-96EF-A3957B4593E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Delivery Plan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Lisa Woods</dc:creator>
  <cp:keywords/>
  <dc:description/>
  <cp:lastModifiedBy>Christian Lie</cp:lastModifiedBy>
  <cp:revision/>
  <dcterms:created xsi:type="dcterms:W3CDTF">2025-01-10T09:07:39Z</dcterms:created>
  <dcterms:modified xsi:type="dcterms:W3CDTF">2026-08-28T15:44:36Z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0x01010060E37DC10894B745BDBADD4F90CA02DB</vt:lpwstr>
  </property>
</Properties>
</file>